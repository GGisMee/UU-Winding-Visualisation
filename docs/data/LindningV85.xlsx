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AADB57C-62BB-4C20-B2BB-48A74DC1FA24}" xr6:coauthVersionLast="47" xr6:coauthVersionMax="47" xr10:uidLastSave="{00000000-0000-0000-0000-000000000000}"/>
  <bookViews>
    <workbookView xWindow="11685" yWindow="-45" windowWidth="39315" windowHeight="20760" xr2:uid="{00000000-000D-0000-FFFF-FFFF00000000}"/>
  </bookViews>
  <sheets>
    <sheet name="Lind" sheetId="1" r:id="rId1"/>
  </sheets>
  <definedNames>
    <definedName name="F">Lind!$D$5</definedName>
    <definedName name="P">Lind!$D$4</definedName>
    <definedName name="Q">Lind!$D$7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30" i="1"/>
  <c r="D30" i="1"/>
  <c r="E29" i="1"/>
  <c r="D29" i="1"/>
  <c r="E28" i="1"/>
  <c r="D28" i="1"/>
  <c r="D27" i="1"/>
  <c r="E26" i="1"/>
  <c r="D26" i="1"/>
  <c r="E25" i="1"/>
  <c r="D25" i="1"/>
  <c r="E24" i="1"/>
  <c r="D24" i="1"/>
  <c r="E23" i="1"/>
  <c r="D23" i="1"/>
  <c r="S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Hans Bernhoff</author>
  </authors>
  <commentList>
    <comment ref="D4" authorId="0" shapeId="0" xr:uid="{00000000-0006-0000-0000-000001000000}">
      <text>
        <r>
          <rPr>
            <sz val="9"/>
            <color indexed="81"/>
            <rFont val="Tahoma"/>
            <family val="2"/>
          </rPr>
          <t>Fyll i dessa 4 från projektblad (personliga)</t>
        </r>
      </text>
    </comment>
    <comment ref="C9" authorId="0" shapeId="0" xr:uid="{303865DA-6FAE-46F6-870B-AAB7BEC2F4C6}">
      <text>
        <r>
          <rPr>
            <sz val="9"/>
            <color indexed="81"/>
            <rFont val="Tahoma"/>
            <family val="2"/>
          </rPr>
          <t>Se förtydligande bild nedan till höger om du är osäker på vad Spår och Position i spår innebär.</t>
        </r>
      </text>
    </comment>
  </commentList>
</comments>
</file>

<file path=xl/sharedStrings.xml><?xml version="1.0" encoding="utf-8"?>
<sst xmlns="http://schemas.openxmlformats.org/spreadsheetml/2006/main" count="65" uniqueCount="60">
  <si>
    <t>Poler</t>
  </si>
  <si>
    <t>nb.</t>
  </si>
  <si>
    <t>In Diam:</t>
  </si>
  <si>
    <t>m</t>
  </si>
  <si>
    <t>Airgap:</t>
  </si>
  <si>
    <t>mm</t>
  </si>
  <si>
    <t>Hz</t>
  </si>
  <si>
    <t>T</t>
  </si>
  <si>
    <t>Up +</t>
  </si>
  <si>
    <t>Ned -</t>
  </si>
  <si>
    <t>Faser:</t>
  </si>
  <si>
    <t>st</t>
  </si>
  <si>
    <t>Höjd:</t>
  </si>
  <si>
    <t>PM h:</t>
  </si>
  <si>
    <t>N45SH</t>
  </si>
  <si>
    <t>Rmn</t>
  </si>
  <si>
    <t>RPM</t>
  </si>
  <si>
    <t>rpm</t>
  </si>
  <si>
    <t>.</t>
  </si>
  <si>
    <t>MA/m</t>
  </si>
  <si>
    <t>Pos:\Slot:</t>
  </si>
  <si>
    <t>Fas</t>
  </si>
  <si>
    <t>Koll:</t>
  </si>
  <si>
    <t>Input</t>
  </si>
  <si>
    <t>Parameter</t>
  </si>
  <si>
    <t>Resultat</t>
  </si>
  <si>
    <t>Legend:</t>
  </si>
  <si>
    <t>frekv.</t>
  </si>
  <si>
    <t>H_c</t>
  </si>
  <si>
    <t>Stat. fill:</t>
  </si>
  <si>
    <t>Rot. fill</t>
  </si>
  <si>
    <t>t.ex "+3" i ruta H12 om fas tre lindas uppåt med en kable i spår 5 posistion 3.</t>
  </si>
  <si>
    <t>Kolla sedan i "Koll"-rutan att rätt antal (lika många) har använts för upp och ned för vardera fas.</t>
  </si>
  <si>
    <t>Ändra inte något annat...</t>
  </si>
  <si>
    <t>mer än 1) annnars är det (i praktiken) omöjligt att linda</t>
  </si>
  <si>
    <t>Q Spår:</t>
  </si>
  <si>
    <t>Innan labb måste du ladda upp ifylld excelfil i Studium</t>
  </si>
  <si>
    <t>Sum ledare/spår:</t>
  </si>
  <si>
    <t xml:space="preserve">OBS2: du ska ha lika många lindningar  upp som ned för varje fas (eller inte diffa med </t>
  </si>
  <si>
    <t>r</t>
  </si>
  <si>
    <t>s</t>
  </si>
  <si>
    <t>t</t>
  </si>
  <si>
    <t>u</t>
  </si>
  <si>
    <t>OBS1: för varje ruta i ramen ovan (alla positioner i statorn i alla spår):</t>
  </si>
  <si>
    <t>OBS1: försök använda alla positioner i alla spår (men om svårt så åtminstone &gt;80%).</t>
  </si>
  <si>
    <t>v</t>
  </si>
  <si>
    <t>x</t>
  </si>
  <si>
    <t>y</t>
  </si>
  <si>
    <t>z</t>
  </si>
  <si>
    <t>OBS3.Stämmer inte  "Koll"-tabell så markera celler utaför området och "deleta" osynligt innehåll</t>
  </si>
  <si>
    <t>SKÄRP DIG: UDDA ANTAL POLER FUNKAR INTE!!!!</t>
  </si>
  <si>
    <r>
      <t xml:space="preserve">För att klara denna övning börjar du med att rita upp en </t>
    </r>
    <r>
      <rPr>
        <b/>
        <sz val="11"/>
        <color theme="1"/>
        <rFont val="Calibri"/>
        <family val="2"/>
        <scheme val="minor"/>
      </rPr>
      <t>spårstjärna</t>
    </r>
    <r>
      <rPr>
        <sz val="11"/>
        <color theme="1"/>
        <rFont val="Calibri"/>
        <family val="2"/>
        <scheme val="minor"/>
      </rPr>
      <t xml:space="preserve"> (se i kompendiet/föreläsningar)...</t>
    </r>
  </si>
  <si>
    <t>koppla ihop dem (grafiskt) så ska det bli dina faser mer rätt vinkel emellan</t>
  </si>
  <si>
    <r>
      <rPr>
        <b/>
        <sz val="11"/>
        <color theme="1"/>
        <rFont val="Calibri"/>
        <family val="2"/>
        <scheme val="minor"/>
      </rPr>
      <t xml:space="preserve">Först: fyll i ingångsdata </t>
    </r>
    <r>
      <rPr>
        <sz val="11"/>
        <color theme="1"/>
        <rFont val="Calibri"/>
        <family val="2"/>
        <scheme val="minor"/>
      </rPr>
      <t>i gula rutorna upp till vänster (D4-D7) fyll sedan i lindningsmatrisen (del av D10:AY17)</t>
    </r>
  </si>
  <si>
    <t>fyll i en "fas-siffra"  positiv för linding  uppåt och negativ för neråt i spår  (se tabell A10:B17)</t>
  </si>
  <si>
    <r>
      <t xml:space="preserve">Vill du </t>
    </r>
    <r>
      <rPr>
        <b/>
        <sz val="11"/>
        <color theme="1"/>
        <rFont val="Calibri"/>
        <family val="2"/>
        <scheme val="minor"/>
      </rPr>
      <t>kolla korrekthet</t>
    </r>
    <r>
      <rPr>
        <sz val="11"/>
        <color theme="1"/>
        <rFont val="Calibri"/>
        <family val="2"/>
        <scheme val="minor"/>
      </rPr>
      <t xml:space="preserve"> på din lösning så tag pilarna från varje fas i spårstjärnan och </t>
    </r>
  </si>
  <si>
    <t>Ifyllnings-Instruktion:</t>
  </si>
  <si>
    <t>Du får tre "inlämningsförsök" (varav labb-tillfället är den första) sedan får du en ny lindning</t>
  </si>
  <si>
    <t>Lindnings utläggning stator med 20-48 spår och med 4-8 positioner i varje spår</t>
  </si>
  <si>
    <t>REM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</si>
</sst>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2" fontId="0" fillId="3" borderId="0" xfId="0" applyNumberFormat="1" applyFill="1"/>
    <xf numFmtId="0" fontId="0" fillId="3" borderId="0" xfId="0" applyFill="1"/>
    <xf numFmtId="0" fontId="0" fillId="4" borderId="0" xfId="0" applyFill="1"/>
    <xf numFmtId="9" fontId="0" fillId="3" borderId="0" xfId="0" applyNumberFormat="1" applyFill="1"/>
    <xf numFmtId="9" fontId="0" fillId="0" borderId="0" xfId="0" applyNumberFormat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2" fillId="0" borderId="0" xfId="0" applyFont="1"/>
    <xf numFmtId="0" fontId="0" fillId="5" borderId="0" xfId="0" applyFill="1"/>
    <xf numFmtId="0" fontId="0" fillId="6" borderId="0" xfId="0" applyFill="1"/>
    <xf numFmtId="0" fontId="4" fillId="0" borderId="0" xfId="0" applyFont="1"/>
    <xf numFmtId="0" fontId="0" fillId="5" borderId="0" xfId="0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0" fontId="0" fillId="7" borderId="0" xfId="0" applyFill="1"/>
    <xf numFmtId="0" fontId="1" fillId="0" borderId="0" xfId="0" applyFont="1" applyAlignment="1">
      <alignment horizontal="right"/>
    </xf>
    <xf numFmtId="0" fontId="0" fillId="5" borderId="4" xfId="0" applyFill="1" applyBorder="1" applyProtection="1">
      <protection locked="0"/>
    </xf>
    <xf numFmtId="0" fontId="0" fillId="5" borderId="5" xfId="0" applyFill="1" applyBorder="1" applyProtection="1">
      <protection locked="0"/>
    </xf>
    <xf numFmtId="0" fontId="0" fillId="5" borderId="6" xfId="0" applyFill="1" applyBorder="1" applyProtection="1">
      <protection locked="0"/>
    </xf>
    <xf numFmtId="0" fontId="0" fillId="5" borderId="13" xfId="0" applyFill="1" applyBorder="1" applyProtection="1">
      <protection locked="0"/>
    </xf>
    <xf numFmtId="0" fontId="0" fillId="0" borderId="7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8" xfId="0" applyBorder="1" applyProtection="1">
      <protection locked="0"/>
    </xf>
    <xf numFmtId="0" fontId="0" fillId="5" borderId="7" xfId="0" applyFill="1" applyBorder="1" applyProtection="1">
      <protection locked="0"/>
    </xf>
    <xf numFmtId="0" fontId="0" fillId="5" borderId="2" xfId="0" applyFill="1" applyBorder="1" applyProtection="1">
      <protection locked="0"/>
    </xf>
    <xf numFmtId="0" fontId="0" fillId="5" borderId="1" xfId="0" applyFill="1" applyBorder="1" applyProtection="1">
      <protection locked="0"/>
    </xf>
    <xf numFmtId="0" fontId="0" fillId="5" borderId="8" xfId="0" applyFill="1" applyBorder="1" applyProtection="1">
      <protection locked="0"/>
    </xf>
    <xf numFmtId="0" fontId="0" fillId="5" borderId="3" xfId="0" applyFill="1" applyBorder="1" applyProtection="1">
      <protection locked="0"/>
    </xf>
    <xf numFmtId="0" fontId="0" fillId="0" borderId="3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12" xfId="0" applyBorder="1" applyProtection="1">
      <protection locked="0"/>
    </xf>
    <xf numFmtId="0" fontId="0" fillId="2" borderId="0" xfId="0" applyFill="1" applyProtection="1">
      <protection locked="0"/>
    </xf>
  </cellXfs>
  <cellStyles count="1">
    <cellStyle name="Normal" xfId="0" builtinId="0"/>
  </cellStyles>
  <dxfs count="26">
    <dxf>
      <font>
        <color theme="0"/>
      </font>
      <fill>
        <patternFill patternType="none">
          <bgColor auto="1"/>
        </patternFill>
      </fill>
      <border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right/>
        <top/>
        <bottom/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Funktionform för magnet vs</a:t>
            </a:r>
            <a:r>
              <a:rPr lang="en-US" baseline="0"/>
              <a:t> sinus</a:t>
            </a:r>
            <a:endParaRPr lang="en-US"/>
          </a:p>
        </c:rich>
      </c:tx>
      <c:layout>
        <c:manualLayout>
          <c:xMode val="edge"/>
          <c:yMode val="edge"/>
          <c:x val="0.27280182232346234"/>
          <c:y val="2.86738243355725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79994167395741"/>
          <c:y val="0.14588003933136678"/>
          <c:w val="0.80282881306503351"/>
          <c:h val="0.72088449120851039"/>
        </c:manualLayout>
      </c:layout>
      <c:scatterChart>
        <c:scatterStyle val="lineMarker"/>
        <c:varyColors val="0"/>
        <c:ser>
          <c:idx val="0"/>
          <c:order val="0"/>
          <c:tx>
            <c:v>Sin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64"/>
              <c:pt idx="0">
                <c:v>0</c:v>
              </c:pt>
              <c:pt idx="1">
                <c:v>0.1</c:v>
              </c:pt>
              <c:pt idx="2">
                <c:v>0.2</c:v>
              </c:pt>
              <c:pt idx="3">
                <c:v>0.30000000000000004</c:v>
              </c:pt>
              <c:pt idx="4">
                <c:v>0.4</c:v>
              </c:pt>
              <c:pt idx="5">
                <c:v>0.5</c:v>
              </c:pt>
              <c:pt idx="6">
                <c:v>0.6</c:v>
              </c:pt>
              <c:pt idx="7">
                <c:v>0.7</c:v>
              </c:pt>
              <c:pt idx="8">
                <c:v>0.79999999999999993</c:v>
              </c:pt>
              <c:pt idx="9">
                <c:v>0.89999999999999991</c:v>
              </c:pt>
              <c:pt idx="10">
                <c:v>0.99999999999999989</c:v>
              </c:pt>
              <c:pt idx="11">
                <c:v>1.0999999999999999</c:v>
              </c:pt>
              <c:pt idx="12">
                <c:v>1.2</c:v>
              </c:pt>
              <c:pt idx="13">
                <c:v>1.3</c:v>
              </c:pt>
              <c:pt idx="14">
                <c:v>1.4000000000000001</c:v>
              </c:pt>
              <c:pt idx="15">
                <c:v>1.5000000000000002</c:v>
              </c:pt>
              <c:pt idx="16">
                <c:v>1.6000000000000003</c:v>
              </c:pt>
              <c:pt idx="17">
                <c:v>1.7000000000000004</c:v>
              </c:pt>
              <c:pt idx="18">
                <c:v>1.8000000000000005</c:v>
              </c:pt>
              <c:pt idx="19">
                <c:v>1.9000000000000006</c:v>
              </c:pt>
              <c:pt idx="20">
                <c:v>2.0000000000000004</c:v>
              </c:pt>
              <c:pt idx="21">
                <c:v>2.1000000000000005</c:v>
              </c:pt>
              <c:pt idx="22">
                <c:v>2.2000000000000006</c:v>
              </c:pt>
              <c:pt idx="23">
                <c:v>2.3000000000000007</c:v>
              </c:pt>
              <c:pt idx="24">
                <c:v>2.4000000000000008</c:v>
              </c:pt>
              <c:pt idx="25">
                <c:v>2.5000000000000009</c:v>
              </c:pt>
              <c:pt idx="26">
                <c:v>2.600000000000001</c:v>
              </c:pt>
              <c:pt idx="27">
                <c:v>2.7000000000000011</c:v>
              </c:pt>
              <c:pt idx="28">
                <c:v>2.8000000000000012</c:v>
              </c:pt>
              <c:pt idx="29">
                <c:v>2.9000000000000012</c:v>
              </c:pt>
              <c:pt idx="30">
                <c:v>3.0000000000000013</c:v>
              </c:pt>
              <c:pt idx="31">
                <c:v>3.1000000000000014</c:v>
              </c:pt>
              <c:pt idx="32">
                <c:v>3.2000000000000015</c:v>
              </c:pt>
              <c:pt idx="33">
                <c:v>3.3000000000000016</c:v>
              </c:pt>
              <c:pt idx="34">
                <c:v>3.4000000000000017</c:v>
              </c:pt>
              <c:pt idx="35">
                <c:v>3.5000000000000018</c:v>
              </c:pt>
              <c:pt idx="36">
                <c:v>3.6000000000000019</c:v>
              </c:pt>
              <c:pt idx="37">
                <c:v>3.700000000000002</c:v>
              </c:pt>
              <c:pt idx="38">
                <c:v>3.800000000000002</c:v>
              </c:pt>
              <c:pt idx="39">
                <c:v>3.9000000000000021</c:v>
              </c:pt>
              <c:pt idx="40">
                <c:v>4.0000000000000018</c:v>
              </c:pt>
              <c:pt idx="41">
                <c:v>4.1000000000000014</c:v>
              </c:pt>
              <c:pt idx="42">
                <c:v>4.2000000000000011</c:v>
              </c:pt>
              <c:pt idx="43">
                <c:v>4.3000000000000007</c:v>
              </c:pt>
              <c:pt idx="44">
                <c:v>4.4000000000000004</c:v>
              </c:pt>
              <c:pt idx="45">
                <c:v>4.5</c:v>
              </c:pt>
              <c:pt idx="46">
                <c:v>4.5999999999999996</c:v>
              </c:pt>
              <c:pt idx="47">
                <c:v>4.6999999999999993</c:v>
              </c:pt>
              <c:pt idx="48">
                <c:v>4.7999999999999989</c:v>
              </c:pt>
              <c:pt idx="49">
                <c:v>4.8999999999999986</c:v>
              </c:pt>
              <c:pt idx="50">
                <c:v>4.9999999999999982</c:v>
              </c:pt>
              <c:pt idx="51">
                <c:v>5.0999999999999979</c:v>
              </c:pt>
              <c:pt idx="52">
                <c:v>5.1999999999999975</c:v>
              </c:pt>
              <c:pt idx="53">
                <c:v>5.2999999999999972</c:v>
              </c:pt>
              <c:pt idx="54">
                <c:v>5.3999999999999968</c:v>
              </c:pt>
              <c:pt idx="55">
                <c:v>5.4999999999999964</c:v>
              </c:pt>
              <c:pt idx="56">
                <c:v>5.5999999999999961</c:v>
              </c:pt>
              <c:pt idx="57">
                <c:v>5.6999999999999957</c:v>
              </c:pt>
              <c:pt idx="58">
                <c:v>5.7999999999999954</c:v>
              </c:pt>
              <c:pt idx="59">
                <c:v>5.899999999999995</c:v>
              </c:pt>
              <c:pt idx="60">
                <c:v>5.9999999999999947</c:v>
              </c:pt>
              <c:pt idx="61">
                <c:v>6.0999999999999943</c:v>
              </c:pt>
              <c:pt idx="62">
                <c:v>6.199999999999994</c:v>
              </c:pt>
              <c:pt idx="63">
                <c:v>6.2999999999999936</c:v>
              </c:pt>
            </c:numLit>
          </c:xVal>
          <c:yVal>
            <c:numLit>
              <c:formatCode>General</c:formatCode>
              <c:ptCount val="64"/>
              <c:pt idx="0">
                <c:v>0</c:v>
              </c:pt>
              <c:pt idx="1">
                <c:v>9.9833416646828155E-2</c:v>
              </c:pt>
              <c:pt idx="2">
                <c:v>0.19866933079506122</c:v>
              </c:pt>
              <c:pt idx="3">
                <c:v>0.2955202066613396</c:v>
              </c:pt>
              <c:pt idx="4">
                <c:v>0.38941834230865052</c:v>
              </c:pt>
              <c:pt idx="5">
                <c:v>0.47942553860420301</c:v>
              </c:pt>
              <c:pt idx="6">
                <c:v>0.56464247339503537</c:v>
              </c:pt>
              <c:pt idx="7">
                <c:v>0.64421768723769102</c:v>
              </c:pt>
              <c:pt idx="8">
                <c:v>0.71735609089952268</c:v>
              </c:pt>
              <c:pt idx="9">
                <c:v>0.7833269096274833</c:v>
              </c:pt>
              <c:pt idx="10">
                <c:v>0.84147098480789639</c:v>
              </c:pt>
              <c:pt idx="11">
                <c:v>0.89120736006143531</c:v>
              </c:pt>
              <c:pt idx="12">
                <c:v>0.93203908596722629</c:v>
              </c:pt>
              <c:pt idx="13">
                <c:v>0.96355818541719296</c:v>
              </c:pt>
              <c:pt idx="14">
                <c:v>0.98544972998846025</c:v>
              </c:pt>
              <c:pt idx="15">
                <c:v>0.99749498660405445</c:v>
              </c:pt>
              <c:pt idx="16">
                <c:v>0.99957360304150511</c:v>
              </c:pt>
              <c:pt idx="17">
                <c:v>0.99166481045246857</c:v>
              </c:pt>
              <c:pt idx="18">
                <c:v>0.97384763087819504</c:v>
              </c:pt>
              <c:pt idx="19">
                <c:v>0.94630008768741425</c:v>
              </c:pt>
              <c:pt idx="20">
                <c:v>0.90929742682568149</c:v>
              </c:pt>
              <c:pt idx="21">
                <c:v>0.86320936664887349</c:v>
              </c:pt>
              <c:pt idx="22">
                <c:v>0.80849640381958987</c:v>
              </c:pt>
              <c:pt idx="23">
                <c:v>0.7457052121767197</c:v>
              </c:pt>
              <c:pt idx="24">
                <c:v>0.67546318055115029</c:v>
              </c:pt>
              <c:pt idx="25">
                <c:v>0.59847214410395577</c:v>
              </c:pt>
              <c:pt idx="26">
                <c:v>0.51550137182146338</c:v>
              </c:pt>
              <c:pt idx="27">
                <c:v>0.42737988023382895</c:v>
              </c:pt>
              <c:pt idx="28">
                <c:v>0.33498815015590383</c:v>
              </c:pt>
              <c:pt idx="29">
                <c:v>0.23924932921398112</c:v>
              </c:pt>
              <c:pt idx="30">
                <c:v>0.14112000805986591</c:v>
              </c:pt>
              <c:pt idx="31">
                <c:v>4.1580662433289159E-2</c:v>
              </c:pt>
              <c:pt idx="32">
                <c:v>-5.8374143427581418E-2</c:v>
              </c:pt>
              <c:pt idx="33">
                <c:v>-0.15774569414324996</c:v>
              </c:pt>
              <c:pt idx="34">
                <c:v>-0.25554110202683294</c:v>
              </c:pt>
              <c:pt idx="35">
                <c:v>-0.3507832276896215</c:v>
              </c:pt>
              <c:pt idx="36">
                <c:v>-0.44252044329485407</c:v>
              </c:pt>
              <c:pt idx="37">
                <c:v>-0.52983614090849485</c:v>
              </c:pt>
              <c:pt idx="38">
                <c:v>-0.61185789094272069</c:v>
              </c:pt>
              <c:pt idx="39">
                <c:v>-0.68776615918397532</c:v>
              </c:pt>
              <c:pt idx="40">
                <c:v>-0.75680249530792942</c:v>
              </c:pt>
              <c:pt idx="41">
                <c:v>-0.81827711106441137</c:v>
              </c:pt>
              <c:pt idx="42">
                <c:v>-0.87157577241358863</c:v>
              </c:pt>
              <c:pt idx="43">
                <c:v>-0.91616593674945523</c:v>
              </c:pt>
              <c:pt idx="44">
                <c:v>-0.95160207388951601</c:v>
              </c:pt>
              <c:pt idx="45">
                <c:v>-0.97753011766509701</c:v>
              </c:pt>
              <c:pt idx="46">
                <c:v>-0.99369100363346441</c:v>
              </c:pt>
              <c:pt idx="47">
                <c:v>-0.99992325756410083</c:v>
              </c:pt>
              <c:pt idx="48">
                <c:v>-0.99616460883584079</c:v>
              </c:pt>
              <c:pt idx="49">
                <c:v>-0.98245261262433281</c:v>
              </c:pt>
              <c:pt idx="50">
                <c:v>-0.95892427466313901</c:v>
              </c:pt>
              <c:pt idx="51">
                <c:v>-0.92581468232773312</c:v>
              </c:pt>
              <c:pt idx="52">
                <c:v>-0.88345465572015447</c:v>
              </c:pt>
              <c:pt idx="53">
                <c:v>-0.8322674422239027</c:v>
              </c:pt>
              <c:pt idx="54">
                <c:v>-0.77276448755598937</c:v>
              </c:pt>
              <c:pt idx="55">
                <c:v>-0.70554032557039448</c:v>
              </c:pt>
              <c:pt idx="56">
                <c:v>-0.63126663787232429</c:v>
              </c:pt>
              <c:pt idx="57">
                <c:v>-0.55068554259764135</c:v>
              </c:pt>
              <c:pt idx="58">
                <c:v>-0.46460217941376131</c:v>
              </c:pt>
              <c:pt idx="59">
                <c:v>-0.37387666483024096</c:v>
              </c:pt>
              <c:pt idx="60">
                <c:v>-0.27941549819893097</c:v>
              </c:pt>
              <c:pt idx="61">
                <c:v>-0.18216250427210112</c:v>
              </c:pt>
              <c:pt idx="62">
                <c:v>-8.30894028175026E-2</c:v>
              </c:pt>
              <c:pt idx="63">
                <c:v>1.6813900484343496E-2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F3E-40AD-A3BA-70588B892355}"/>
            </c:ext>
          </c:extLst>
        </c:ser>
        <c:ser>
          <c:idx val="1"/>
          <c:order val="1"/>
          <c:tx>
            <c:v>Magnet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64"/>
              <c:pt idx="0">
                <c:v>0</c:v>
              </c:pt>
              <c:pt idx="1">
                <c:v>0.1</c:v>
              </c:pt>
              <c:pt idx="2">
                <c:v>0.2</c:v>
              </c:pt>
              <c:pt idx="3">
                <c:v>0.30000000000000004</c:v>
              </c:pt>
              <c:pt idx="4">
                <c:v>0.4</c:v>
              </c:pt>
              <c:pt idx="5">
                <c:v>0.5</c:v>
              </c:pt>
              <c:pt idx="6">
                <c:v>0.6</c:v>
              </c:pt>
              <c:pt idx="7">
                <c:v>0.7</c:v>
              </c:pt>
              <c:pt idx="8">
                <c:v>0.79999999999999993</c:v>
              </c:pt>
              <c:pt idx="9">
                <c:v>0.89999999999999991</c:v>
              </c:pt>
              <c:pt idx="10">
                <c:v>0.99999999999999989</c:v>
              </c:pt>
              <c:pt idx="11">
                <c:v>1.0999999999999999</c:v>
              </c:pt>
              <c:pt idx="12">
                <c:v>1.2</c:v>
              </c:pt>
              <c:pt idx="13">
                <c:v>1.3</c:v>
              </c:pt>
              <c:pt idx="14">
                <c:v>1.4000000000000001</c:v>
              </c:pt>
              <c:pt idx="15">
                <c:v>1.5000000000000002</c:v>
              </c:pt>
              <c:pt idx="16">
                <c:v>1.6000000000000003</c:v>
              </c:pt>
              <c:pt idx="17">
                <c:v>1.7000000000000004</c:v>
              </c:pt>
              <c:pt idx="18">
                <c:v>1.8000000000000005</c:v>
              </c:pt>
              <c:pt idx="19">
                <c:v>1.9000000000000006</c:v>
              </c:pt>
              <c:pt idx="20">
                <c:v>2.0000000000000004</c:v>
              </c:pt>
              <c:pt idx="21">
                <c:v>2.1000000000000005</c:v>
              </c:pt>
              <c:pt idx="22">
                <c:v>2.2000000000000006</c:v>
              </c:pt>
              <c:pt idx="23">
                <c:v>2.3000000000000007</c:v>
              </c:pt>
              <c:pt idx="24">
                <c:v>2.4000000000000008</c:v>
              </c:pt>
              <c:pt idx="25">
                <c:v>2.5000000000000009</c:v>
              </c:pt>
              <c:pt idx="26">
                <c:v>2.600000000000001</c:v>
              </c:pt>
              <c:pt idx="27">
                <c:v>2.7000000000000011</c:v>
              </c:pt>
              <c:pt idx="28">
                <c:v>2.8000000000000012</c:v>
              </c:pt>
              <c:pt idx="29">
                <c:v>2.9000000000000012</c:v>
              </c:pt>
              <c:pt idx="30">
                <c:v>3.0000000000000013</c:v>
              </c:pt>
              <c:pt idx="31">
                <c:v>3.1000000000000014</c:v>
              </c:pt>
              <c:pt idx="32">
                <c:v>3.2000000000000015</c:v>
              </c:pt>
              <c:pt idx="33">
                <c:v>3.3000000000000016</c:v>
              </c:pt>
              <c:pt idx="34">
                <c:v>3.4000000000000017</c:v>
              </c:pt>
              <c:pt idx="35">
                <c:v>3.5000000000000018</c:v>
              </c:pt>
              <c:pt idx="36">
                <c:v>3.6000000000000019</c:v>
              </c:pt>
              <c:pt idx="37">
                <c:v>3.700000000000002</c:v>
              </c:pt>
              <c:pt idx="38">
                <c:v>3.800000000000002</c:v>
              </c:pt>
              <c:pt idx="39">
                <c:v>3.9000000000000021</c:v>
              </c:pt>
              <c:pt idx="40">
                <c:v>4.0000000000000018</c:v>
              </c:pt>
              <c:pt idx="41">
                <c:v>4.1000000000000014</c:v>
              </c:pt>
              <c:pt idx="42">
                <c:v>4.2000000000000011</c:v>
              </c:pt>
              <c:pt idx="43">
                <c:v>4.3000000000000007</c:v>
              </c:pt>
              <c:pt idx="44">
                <c:v>4.4000000000000004</c:v>
              </c:pt>
              <c:pt idx="45">
                <c:v>4.5</c:v>
              </c:pt>
              <c:pt idx="46">
                <c:v>4.5999999999999996</c:v>
              </c:pt>
              <c:pt idx="47">
                <c:v>4.6999999999999993</c:v>
              </c:pt>
              <c:pt idx="48">
                <c:v>4.7999999999999989</c:v>
              </c:pt>
              <c:pt idx="49">
                <c:v>4.8999999999999986</c:v>
              </c:pt>
              <c:pt idx="50">
                <c:v>4.9999999999999982</c:v>
              </c:pt>
              <c:pt idx="51">
                <c:v>5.0999999999999979</c:v>
              </c:pt>
              <c:pt idx="52">
                <c:v>5.1999999999999975</c:v>
              </c:pt>
              <c:pt idx="53">
                <c:v>5.2999999999999972</c:v>
              </c:pt>
              <c:pt idx="54">
                <c:v>5.3999999999999968</c:v>
              </c:pt>
              <c:pt idx="55">
                <c:v>5.4999999999999964</c:v>
              </c:pt>
              <c:pt idx="56">
                <c:v>5.5999999999999961</c:v>
              </c:pt>
              <c:pt idx="57">
                <c:v>5.6999999999999957</c:v>
              </c:pt>
              <c:pt idx="58">
                <c:v>5.7999999999999954</c:v>
              </c:pt>
              <c:pt idx="59">
                <c:v>5.899999999999995</c:v>
              </c:pt>
              <c:pt idx="60">
                <c:v>5.9999999999999947</c:v>
              </c:pt>
              <c:pt idx="61">
                <c:v>6.0999999999999943</c:v>
              </c:pt>
              <c:pt idx="62">
                <c:v>6.199999999999994</c:v>
              </c:pt>
              <c:pt idx="63">
                <c:v>6.2999999999999936</c:v>
              </c:pt>
            </c:numLit>
          </c:xVal>
          <c:yVal>
            <c:numLit>
              <c:formatCode>General</c:formatCode>
              <c:ptCount val="64"/>
              <c:pt idx="0">
                <c:v>0</c:v>
              </c:pt>
              <c:pt idx="1">
                <c:v>0.10013635188783612</c:v>
              </c:pt>
              <c:pt idx="2">
                <c:v>0.21777315760308849</c:v>
              </c:pt>
              <c:pt idx="3">
                <c:v>0.34429146548449913</c:v>
              </c:pt>
              <c:pt idx="4">
                <c:v>0.4714546309256149</c:v>
              </c:pt>
              <c:pt idx="5">
                <c:v>0.59202188504875009</c:v>
              </c:pt>
              <c:pt idx="6">
                <c:v>0.70023094588541146</c:v>
              </c:pt>
              <c:pt idx="7">
                <c:v>0.79211310738713459</c:v>
              </c:pt>
              <c:pt idx="8">
                <c:v>0.86562061925984812</c:v>
              </c:pt>
              <c:pt idx="9">
                <c:v>0.92056403423078292</c:v>
              </c:pt>
              <c:pt idx="10">
                <c:v>0.95837490951737547</c:v>
              </c:pt>
              <c:pt idx="11">
                <c:v>0.98172519466987596</c:v>
              </c:pt>
              <c:pt idx="12">
                <c:v>0.99404738050154895</c:v>
              </c:pt>
              <c:pt idx="13">
                <c:v>0.99900788761072967</c:v>
              </c:pt>
              <c:pt idx="14">
                <c:v>0.99998950572764267</c:v>
              </c:pt>
              <c:pt idx="15">
                <c:v>0.99963669274026479</c:v>
              </c:pt>
              <c:pt idx="16">
                <c:v>0.99951043123097461</c:v>
              </c:pt>
              <c:pt idx="17">
                <c:v>0.99988781553470685</c:v>
              </c:pt>
              <c:pt idx="18">
                <c:v>0.99972670249133644</c:v>
              </c:pt>
              <c:pt idx="19">
                <c:v>0.99679900601365468</c:v>
              </c:pt>
              <c:pt idx="20">
                <c:v>0.98797912589649262</c:v>
              </c:pt>
              <c:pt idx="21">
                <c:v>0.96965818226408795</c:v>
              </c:pt>
              <c:pt idx="22">
                <c:v>0.93824166995113911</c:v>
              </c:pt>
              <c:pt idx="23">
                <c:v>0.89067909081827623</c:v>
              </c:pt>
              <c:pt idx="24">
                <c:v>0.82496993945867836</c:v>
              </c:pt>
              <c:pt idx="25">
                <c:v>0.74059153543892631</c:v>
              </c:pt>
              <c:pt idx="26">
                <c:v>0.63880055294565075</c:v>
              </c:pt>
              <c:pt idx="27">
                <c:v>0.52277115341968083</c:v>
              </c:pt>
              <c:pt idx="28">
                <c:v>0.39754740003754779</c:v>
              </c:pt>
              <c:pt idx="29">
                <c:v>0.26980479801667157</c:v>
              </c:pt>
              <c:pt idx="30">
                <c:v>0.14743380542456808</c:v>
              </c:pt>
              <c:pt idx="31">
                <c:v>3.8975349621958068E-2</c:v>
              </c:pt>
              <c:pt idx="32">
                <c:v>-5.5870076048348531E-2</c:v>
              </c:pt>
              <c:pt idx="33">
                <c:v>-0.16727328819460141</c:v>
              </c:pt>
              <c:pt idx="34">
                <c:v>-0.29113501242415435</c:v>
              </c:pt>
              <c:pt idx="35">
                <c:v>-0.41897916377769318</c:v>
              </c:pt>
              <c:pt idx="36">
                <c:v>-0.54308363955079553</c:v>
              </c:pt>
              <c:pt idx="37">
                <c:v>-0.65702269073448449</c:v>
              </c:pt>
              <c:pt idx="38">
                <c:v>-0.7560551301921542</c:v>
              </c:pt>
              <c:pt idx="39">
                <c:v>-0.83733110674807854</c:v>
              </c:pt>
              <c:pt idx="40">
                <c:v>-0.89990761549508891</c:v>
              </c:pt>
              <c:pt idx="41">
                <c:v>-0.94458088933625173</c:v>
              </c:pt>
              <c:pt idx="42">
                <c:v>-0.97356068396157902</c:v>
              </c:pt>
              <c:pt idx="43">
                <c:v>-0.99002570110902699</c:v>
              </c:pt>
              <c:pt idx="44">
                <c:v>-0.99760971734539217</c:v>
              </c:pt>
              <c:pt idx="45">
                <c:v>-0.99987348742694049</c:v>
              </c:pt>
              <c:pt idx="46">
                <c:v>-0.99981770853032892</c:v>
              </c:pt>
              <c:pt idx="47">
                <c:v>-0.99948728687607191</c:v>
              </c:pt>
              <c:pt idx="48">
                <c:v>-0.99970734702722452</c:v>
              </c:pt>
              <c:pt idx="49">
                <c:v>-0.99997780755021737</c:v>
              </c:pt>
              <c:pt idx="50">
                <c:v>-0.99853720479337615</c:v>
              </c:pt>
              <c:pt idx="51">
                <c:v>-0.99258930002566081</c:v>
              </c:pt>
              <c:pt idx="52">
                <c:v>-0.97866946658381904</c:v>
              </c:pt>
              <c:pt idx="53">
                <c:v>-0.95311347998346774</c:v>
              </c:pt>
              <c:pt idx="54">
                <c:v>-0.91258048436887496</c:v>
              </c:pt>
              <c:pt idx="55">
                <c:v>-0.8545756202306275</c:v>
              </c:pt>
              <c:pt idx="56">
                <c:v>-0.77791669050648671</c:v>
              </c:pt>
              <c:pt idx="57">
                <c:v>-0.68309345932764476</c:v>
              </c:pt>
              <c:pt idx="58">
                <c:v>-0.57247737424044742</c:v>
              </c:pt>
              <c:pt idx="59">
                <c:v>-0.45035287293756571</c:v>
              </c:pt>
              <c:pt idx="60">
                <c:v>-0.32275778469407185</c:v>
              </c:pt>
              <c:pt idx="61">
                <c:v>-0.1971381879823686</c:v>
              </c:pt>
              <c:pt idx="62">
                <c:v>-8.1840812709118957E-2</c:v>
              </c:pt>
              <c:pt idx="63">
                <c:v>1.5249974196590264E-2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F3E-40AD-A3BA-70588B892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826783"/>
        <c:axId val="686828863"/>
      </c:scatterChart>
      <c:valAx>
        <c:axId val="68682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Vinkel [rad]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86828863"/>
        <c:crosses val="autoZero"/>
        <c:crossBetween val="midCat"/>
      </c:valAx>
      <c:valAx>
        <c:axId val="686828863"/>
        <c:scaling>
          <c:orientation val="minMax"/>
          <c:max val="1.2"/>
          <c:min val="-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funktions värde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86826783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020003672380455"/>
          <c:y val="0.89068048027526858"/>
          <c:w val="0.28772063985828933"/>
          <c:h val="8.0645695389158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50800</xdr:colOff>
      <xdr:row>52</xdr:row>
      <xdr:rowOff>149225</xdr:rowOff>
    </xdr:from>
    <xdr:to>
      <xdr:col>16</xdr:col>
      <xdr:colOff>124649</xdr:colOff>
      <xdr:row>74</xdr:row>
      <xdr:rowOff>149225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2238" y="9840913"/>
          <a:ext cx="4410899" cy="4016375"/>
        </a:xfrm>
        <a:prstGeom prst="rect">
          <a:avLst/>
        </a:prstGeom>
      </xdr:spPr>
    </xdr:pic>
    <xdr:clientData/>
  </xdr:twoCellAnchor>
  <xdr:twoCellAnchor>
    <xdr:from>
      <xdr:col>2</xdr:col>
      <xdr:colOff>42862</xdr:colOff>
      <xdr:row>35</xdr:row>
      <xdr:rowOff>33339</xdr:rowOff>
    </xdr:from>
    <xdr:to>
      <xdr:col>16</xdr:col>
      <xdr:colOff>251141</xdr:colOff>
      <xdr:row>49</xdr:row>
      <xdr:rowOff>126684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B2A47E-C729-429F-8764-ABB5983AEF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198439</xdr:colOff>
      <xdr:row>35</xdr:row>
      <xdr:rowOff>16146</xdr:rowOff>
    </xdr:from>
    <xdr:to>
      <xdr:col>29</xdr:col>
      <xdr:colOff>125414</xdr:colOff>
      <xdr:row>47</xdr:row>
      <xdr:rowOff>130810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95FF85F-AB52-49CD-9632-EB28F0F0B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40502" y="6604271"/>
          <a:ext cx="3590925" cy="23054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99"/>
  <sheetViews>
    <sheetView tabSelected="1" zoomScale="120" zoomScaleNormal="120" workbookViewId="0">
      <selection activeCell="AD21" sqref="AD21"/>
    </sheetView>
  </sheetViews>
  <sheetFormatPr defaultColWidth="0" defaultRowHeight="15" zeroHeight="1" x14ac:dyDescent="0.25"/>
  <cols>
    <col min="1" max="1" width="5" customWidth="1"/>
    <col min="2" max="2" width="4.7109375" customWidth="1"/>
    <col min="3" max="3" width="9.42578125" customWidth="1"/>
    <col min="4" max="34" width="4.7109375" customWidth="1"/>
    <col min="35" max="35" width="4.5703125" customWidth="1"/>
    <col min="36" max="51" width="4.7109375" customWidth="1"/>
    <col min="52" max="52" width="9.140625" customWidth="1"/>
    <col min="53" max="16384" width="9.140625" hidden="1"/>
  </cols>
  <sheetData>
    <row r="1" spans="1:51" x14ac:dyDescent="0.25"/>
    <row r="2" spans="1:51" ht="23.25" x14ac:dyDescent="0.35">
      <c r="D2" s="11" t="s">
        <v>58</v>
      </c>
      <c r="AA2" s="11" t="s">
        <v>59</v>
      </c>
    </row>
    <row r="3" spans="1:51" x14ac:dyDescent="0.25">
      <c r="W3" t="s">
        <v>26</v>
      </c>
    </row>
    <row r="4" spans="1:51" x14ac:dyDescent="0.25">
      <c r="C4" s="1" t="s">
        <v>0</v>
      </c>
      <c r="D4" s="42">
        <v>6</v>
      </c>
      <c r="E4" t="s">
        <v>1</v>
      </c>
      <c r="H4" s="1" t="s">
        <v>2</v>
      </c>
      <c r="I4" s="3">
        <v>0.3</v>
      </c>
      <c r="J4" t="s">
        <v>3</v>
      </c>
      <c r="M4" s="1" t="s">
        <v>4</v>
      </c>
      <c r="N4" s="4">
        <v>2</v>
      </c>
      <c r="O4" t="s">
        <v>5</v>
      </c>
      <c r="R4" s="1" t="s">
        <v>27</v>
      </c>
      <c r="S4" s="5">
        <f>D4/2*D6/60</f>
        <v>8</v>
      </c>
      <c r="T4" t="s">
        <v>6</v>
      </c>
      <c r="W4" s="2" t="s">
        <v>23</v>
      </c>
      <c r="X4" s="2"/>
      <c r="AB4" s="1"/>
    </row>
    <row r="5" spans="1:51" ht="15.75" customHeight="1" x14ac:dyDescent="0.25">
      <c r="C5" s="1" t="s">
        <v>10</v>
      </c>
      <c r="D5" s="42">
        <v>3</v>
      </c>
      <c r="E5" t="s">
        <v>11</v>
      </c>
      <c r="H5" s="1" t="s">
        <v>12</v>
      </c>
      <c r="I5" s="3">
        <v>0.5</v>
      </c>
      <c r="J5" t="s">
        <v>3</v>
      </c>
      <c r="M5" s="1" t="s">
        <v>13</v>
      </c>
      <c r="N5" s="4">
        <v>5</v>
      </c>
      <c r="O5" t="s">
        <v>5</v>
      </c>
      <c r="Q5" s="1" t="s">
        <v>14</v>
      </c>
      <c r="R5" s="1" t="s">
        <v>15</v>
      </c>
      <c r="S5" s="4">
        <v>1.32</v>
      </c>
      <c r="T5" t="s">
        <v>7</v>
      </c>
      <c r="W5" s="4" t="s">
        <v>24</v>
      </c>
      <c r="X5" s="4"/>
    </row>
    <row r="6" spans="1:51" x14ac:dyDescent="0.25">
      <c r="C6" s="1" t="s">
        <v>16</v>
      </c>
      <c r="D6" s="42">
        <v>160</v>
      </c>
      <c r="E6" t="s">
        <v>17</v>
      </c>
      <c r="H6" s="1" t="s">
        <v>29</v>
      </c>
      <c r="I6" s="6">
        <v>0.5</v>
      </c>
      <c r="J6" t="s">
        <v>18</v>
      </c>
      <c r="M6" s="1" t="s">
        <v>30</v>
      </c>
      <c r="N6" s="6">
        <v>0.5</v>
      </c>
      <c r="O6" t="s">
        <v>18</v>
      </c>
      <c r="Q6" s="1" t="s">
        <v>14</v>
      </c>
      <c r="R6" s="1" t="s">
        <v>28</v>
      </c>
      <c r="S6" s="4">
        <v>1.0349999999999999</v>
      </c>
      <c r="T6" t="s">
        <v>19</v>
      </c>
      <c r="W6" s="5" t="s">
        <v>25</v>
      </c>
      <c r="X6" s="5"/>
    </row>
    <row r="7" spans="1:51" x14ac:dyDescent="0.25">
      <c r="C7" s="1" t="s">
        <v>35</v>
      </c>
      <c r="D7" s="42">
        <v>32</v>
      </c>
      <c r="E7" t="s">
        <v>11</v>
      </c>
      <c r="S7" s="7"/>
    </row>
    <row r="8" spans="1:51" x14ac:dyDescent="0.25">
      <c r="D8" s="19" t="s">
        <v>50</v>
      </c>
      <c r="H8" s="1"/>
    </row>
    <row r="9" spans="1:51" ht="15.75" thickBot="1" x14ac:dyDescent="0.3">
      <c r="C9" s="1" t="s">
        <v>20</v>
      </c>
      <c r="D9" s="16">
        <v>1</v>
      </c>
      <c r="E9" s="17">
        <v>2</v>
      </c>
      <c r="F9" s="17">
        <v>3</v>
      </c>
      <c r="G9" s="17">
        <v>4</v>
      </c>
      <c r="H9" s="17">
        <v>5</v>
      </c>
      <c r="I9" s="17">
        <v>6</v>
      </c>
      <c r="J9" s="17">
        <v>7</v>
      </c>
      <c r="K9" s="17">
        <v>8</v>
      </c>
      <c r="L9" s="17">
        <v>9</v>
      </c>
      <c r="M9" s="17">
        <v>10</v>
      </c>
      <c r="N9" s="17">
        <v>11</v>
      </c>
      <c r="O9" s="17">
        <v>12</v>
      </c>
      <c r="P9" s="17">
        <v>13</v>
      </c>
      <c r="Q9" s="17">
        <v>14</v>
      </c>
      <c r="R9" s="17">
        <v>15</v>
      </c>
      <c r="S9" s="17">
        <v>16</v>
      </c>
      <c r="T9" s="17">
        <v>17</v>
      </c>
      <c r="U9" s="17">
        <v>18</v>
      </c>
      <c r="V9" s="17">
        <v>19</v>
      </c>
      <c r="W9" s="17">
        <v>20</v>
      </c>
      <c r="X9" s="17">
        <v>21</v>
      </c>
      <c r="Y9" s="17">
        <v>22</v>
      </c>
      <c r="Z9" s="8">
        <v>23</v>
      </c>
      <c r="AA9" s="8">
        <v>24</v>
      </c>
      <c r="AB9" s="8">
        <v>25</v>
      </c>
      <c r="AC9" s="8">
        <v>26</v>
      </c>
      <c r="AD9" s="8">
        <v>27</v>
      </c>
      <c r="AE9" s="8">
        <v>28</v>
      </c>
      <c r="AF9" s="8">
        <v>29</v>
      </c>
      <c r="AG9" s="9">
        <v>30</v>
      </c>
      <c r="AH9" s="8">
        <v>31</v>
      </c>
      <c r="AI9" s="8">
        <v>32</v>
      </c>
      <c r="AJ9" s="8">
        <v>33</v>
      </c>
      <c r="AK9" s="9">
        <v>34</v>
      </c>
      <c r="AL9" s="8">
        <v>35</v>
      </c>
      <c r="AM9" s="8">
        <v>36</v>
      </c>
      <c r="AN9" s="8">
        <v>37</v>
      </c>
      <c r="AO9" s="9">
        <v>38</v>
      </c>
      <c r="AP9" s="8">
        <v>39</v>
      </c>
      <c r="AQ9" s="9">
        <v>40</v>
      </c>
      <c r="AR9" s="8">
        <v>41</v>
      </c>
      <c r="AS9" s="8">
        <v>42</v>
      </c>
      <c r="AT9" s="8">
        <v>43</v>
      </c>
      <c r="AU9" s="9">
        <v>44</v>
      </c>
      <c r="AV9" s="8">
        <v>45</v>
      </c>
      <c r="AW9" s="8">
        <v>46</v>
      </c>
      <c r="AX9" s="8">
        <v>47</v>
      </c>
      <c r="AY9" s="9">
        <v>48</v>
      </c>
    </row>
    <row r="10" spans="1:51" x14ac:dyDescent="0.25">
      <c r="A10" s="22" t="s">
        <v>39</v>
      </c>
      <c r="B10" s="20">
        <v>1</v>
      </c>
      <c r="C10" s="10">
        <v>1</v>
      </c>
      <c r="D10" s="23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5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6"/>
    </row>
    <row r="11" spans="1:51" x14ac:dyDescent="0.25">
      <c r="A11" s="22" t="s">
        <v>40</v>
      </c>
      <c r="B11" s="20">
        <v>2</v>
      </c>
      <c r="C11" s="10">
        <v>2</v>
      </c>
      <c r="D11" s="27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9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30"/>
    </row>
    <row r="12" spans="1:51" x14ac:dyDescent="0.25">
      <c r="A12" s="22" t="s">
        <v>41</v>
      </c>
      <c r="B12" s="20">
        <v>3</v>
      </c>
      <c r="C12" s="10">
        <v>3</v>
      </c>
      <c r="D12" s="31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3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4"/>
    </row>
    <row r="13" spans="1:51" x14ac:dyDescent="0.25">
      <c r="A13" s="22" t="s">
        <v>42</v>
      </c>
      <c r="B13" s="20">
        <v>4</v>
      </c>
      <c r="C13" s="10">
        <v>4</v>
      </c>
      <c r="D13" s="27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9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30"/>
    </row>
    <row r="14" spans="1:51" x14ac:dyDescent="0.25">
      <c r="A14" s="22" t="s">
        <v>45</v>
      </c>
      <c r="B14" s="20">
        <v>5</v>
      </c>
      <c r="C14" s="18">
        <v>5</v>
      </c>
      <c r="D14" s="31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3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5"/>
      <c r="AO14" s="32"/>
      <c r="AP14" s="32"/>
      <c r="AQ14" s="32"/>
      <c r="AR14" s="32"/>
      <c r="AS14" s="33"/>
      <c r="AT14" s="32"/>
      <c r="AU14" s="32"/>
      <c r="AV14" s="32"/>
      <c r="AW14" s="32"/>
      <c r="AX14" s="32"/>
      <c r="AY14" s="34"/>
    </row>
    <row r="15" spans="1:51" x14ac:dyDescent="0.25">
      <c r="A15" s="22" t="s">
        <v>46</v>
      </c>
      <c r="B15" s="20">
        <v>6</v>
      </c>
      <c r="C15" s="18">
        <v>6</v>
      </c>
      <c r="D15" s="27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9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36"/>
      <c r="AO15" s="28"/>
      <c r="AP15" s="28"/>
      <c r="AQ15" s="28"/>
      <c r="AR15" s="28"/>
      <c r="AS15" s="29"/>
      <c r="AT15" s="28"/>
      <c r="AU15" s="28"/>
      <c r="AV15" s="28"/>
      <c r="AW15" s="28"/>
      <c r="AX15" s="28"/>
      <c r="AY15" s="30"/>
    </row>
    <row r="16" spans="1:51" x14ac:dyDescent="0.25">
      <c r="A16" s="22" t="s">
        <v>47</v>
      </c>
      <c r="B16" s="20">
        <v>7</v>
      </c>
      <c r="C16" s="18">
        <v>7</v>
      </c>
      <c r="D16" s="31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3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5"/>
      <c r="AO16" s="32"/>
      <c r="AP16" s="32"/>
      <c r="AQ16" s="32"/>
      <c r="AR16" s="32"/>
      <c r="AS16" s="33"/>
      <c r="AT16" s="32"/>
      <c r="AU16" s="32"/>
      <c r="AV16" s="32"/>
      <c r="AW16" s="32"/>
      <c r="AX16" s="32"/>
      <c r="AY16" s="34"/>
    </row>
    <row r="17" spans="1:51" ht="15.75" thickBot="1" x14ac:dyDescent="0.3">
      <c r="A17" s="22" t="s">
        <v>48</v>
      </c>
      <c r="B17" s="20">
        <v>8</v>
      </c>
      <c r="C17" s="18">
        <v>8</v>
      </c>
      <c r="D17" s="37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9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40"/>
      <c r="AO17" s="38"/>
      <c r="AP17" s="38"/>
      <c r="AQ17" s="38"/>
      <c r="AR17" s="38"/>
      <c r="AS17" s="39"/>
      <c r="AT17" s="38"/>
      <c r="AU17" s="38"/>
      <c r="AV17" s="38"/>
      <c r="AW17" s="38"/>
      <c r="AX17" s="38"/>
      <c r="AY17" s="41"/>
    </row>
    <row r="18" spans="1:51" x14ac:dyDescent="0.25">
      <c r="A18" s="10"/>
      <c r="G18" t="s">
        <v>51</v>
      </c>
    </row>
    <row r="19" spans="1:51" x14ac:dyDescent="0.25">
      <c r="A19" s="10"/>
      <c r="G19" t="s">
        <v>57</v>
      </c>
    </row>
    <row r="20" spans="1:51" ht="18.75" x14ac:dyDescent="0.3">
      <c r="C20" s="14" t="s">
        <v>22</v>
      </c>
      <c r="G20" s="14" t="s">
        <v>56</v>
      </c>
    </row>
    <row r="21" spans="1:51" x14ac:dyDescent="0.25">
      <c r="C21" s="12" t="s">
        <v>37</v>
      </c>
      <c r="D21" s="12"/>
      <c r="E21" s="12"/>
      <c r="G21" t="s">
        <v>53</v>
      </c>
    </row>
    <row r="22" spans="1:51" x14ac:dyDescent="0.25">
      <c r="C22" s="15" t="s">
        <v>21</v>
      </c>
      <c r="D22" s="13" t="s">
        <v>8</v>
      </c>
      <c r="E22" s="13" t="s">
        <v>9</v>
      </c>
      <c r="G22" t="s">
        <v>43</v>
      </c>
    </row>
    <row r="23" spans="1:51" x14ac:dyDescent="0.25">
      <c r="C23" s="15">
        <v>1</v>
      </c>
      <c r="D23" s="5">
        <f>COUNTIF($D$10:$AY$17,C23)</f>
        <v>0</v>
      </c>
      <c r="E23" s="5">
        <f>COUNTIF($D$10:$AY$17,-1*C23)</f>
        <v>0</v>
      </c>
      <c r="G23" t="s">
        <v>54</v>
      </c>
    </row>
    <row r="24" spans="1:51" x14ac:dyDescent="0.25">
      <c r="C24" s="15">
        <v>2</v>
      </c>
      <c r="D24" s="5">
        <f t="shared" ref="D24:D30" si="0">COUNTIF($D$10:$AY$17,C24)</f>
        <v>0</v>
      </c>
      <c r="E24" s="5">
        <f t="shared" ref="E24:E30" si="1">COUNTIF($D$10:$AY$17,-1*C24)</f>
        <v>0</v>
      </c>
      <c r="G24" t="s">
        <v>31</v>
      </c>
    </row>
    <row r="25" spans="1:51" x14ac:dyDescent="0.25">
      <c r="C25" s="15">
        <v>3</v>
      </c>
      <c r="D25" s="5">
        <f t="shared" si="0"/>
        <v>0</v>
      </c>
      <c r="E25" s="5">
        <f t="shared" si="1"/>
        <v>0</v>
      </c>
      <c r="G25" t="s">
        <v>32</v>
      </c>
    </row>
    <row r="26" spans="1:51" x14ac:dyDescent="0.25">
      <c r="C26" s="15">
        <v>4</v>
      </c>
      <c r="D26" s="5">
        <f t="shared" si="0"/>
        <v>0</v>
      </c>
      <c r="E26" s="5">
        <f t="shared" si="1"/>
        <v>0</v>
      </c>
      <c r="G26" t="s">
        <v>33</v>
      </c>
    </row>
    <row r="27" spans="1:51" x14ac:dyDescent="0.25">
      <c r="C27" s="15">
        <v>5</v>
      </c>
      <c r="D27" s="5">
        <f t="shared" si="0"/>
        <v>0</v>
      </c>
      <c r="E27" s="5">
        <f>COUNTIF($D$10:$AY$17,-1*C27)</f>
        <v>0</v>
      </c>
      <c r="G27" t="s">
        <v>44</v>
      </c>
    </row>
    <row r="28" spans="1:51" x14ac:dyDescent="0.25">
      <c r="C28" s="15">
        <v>6</v>
      </c>
      <c r="D28" s="5">
        <f t="shared" si="0"/>
        <v>0</v>
      </c>
      <c r="E28" s="5">
        <f t="shared" si="1"/>
        <v>0</v>
      </c>
      <c r="G28" t="s">
        <v>38</v>
      </c>
    </row>
    <row r="29" spans="1:51" x14ac:dyDescent="0.25">
      <c r="C29" s="15">
        <v>7</v>
      </c>
      <c r="D29" s="5">
        <f t="shared" si="0"/>
        <v>0</v>
      </c>
      <c r="E29" s="5">
        <f t="shared" si="1"/>
        <v>0</v>
      </c>
      <c r="G29" t="s">
        <v>34</v>
      </c>
    </row>
    <row r="30" spans="1:51" x14ac:dyDescent="0.25">
      <c r="C30" s="15">
        <v>8</v>
      </c>
      <c r="D30" s="5">
        <f t="shared" si="0"/>
        <v>0</v>
      </c>
      <c r="E30" s="5">
        <f t="shared" si="1"/>
        <v>0</v>
      </c>
      <c r="G30" t="s">
        <v>36</v>
      </c>
    </row>
    <row r="31" spans="1:51" x14ac:dyDescent="0.25">
      <c r="G31" t="s">
        <v>49</v>
      </c>
    </row>
    <row r="32" spans="1:51" x14ac:dyDescent="0.25"/>
    <row r="33" spans="7:30" x14ac:dyDescent="0.25">
      <c r="G33" t="s">
        <v>55</v>
      </c>
    </row>
    <row r="34" spans="7:30" x14ac:dyDescent="0.25">
      <c r="G34" t="s">
        <v>52</v>
      </c>
    </row>
    <row r="35" spans="7:30" x14ac:dyDescent="0.25"/>
    <row r="36" spans="7:30" x14ac:dyDescent="0.25"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7:30" x14ac:dyDescent="0.25"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7:30" x14ac:dyDescent="0.25"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7:30" x14ac:dyDescent="0.25"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7:30" x14ac:dyDescent="0.25"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7:30" x14ac:dyDescent="0.25"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7:30" x14ac:dyDescent="0.25"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7:30" x14ac:dyDescent="0.25"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7:30" x14ac:dyDescent="0.25"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7:30" x14ac:dyDescent="0.25"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7:30" x14ac:dyDescent="0.25"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7:30" x14ac:dyDescent="0.25"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7:30" x14ac:dyDescent="0.25"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</sheetData>
  <conditionalFormatting sqref="A12:B17 C25:E30">
    <cfRule type="expression" dxfId="25" priority="6">
      <formula>F=2</formula>
    </cfRule>
  </conditionalFormatting>
  <conditionalFormatting sqref="A13:B17 C26:E30">
    <cfRule type="expression" dxfId="24" priority="5">
      <formula>F=3</formula>
    </cfRule>
  </conditionalFormatting>
  <conditionalFormatting sqref="A14:B17 C27:E30">
    <cfRule type="expression" dxfId="23" priority="4">
      <formula>F=4</formula>
    </cfRule>
  </conditionalFormatting>
  <conditionalFormatting sqref="A15:B17 C28:E30">
    <cfRule type="expression" dxfId="22" priority="3">
      <formula>F=5</formula>
    </cfRule>
  </conditionalFormatting>
  <conditionalFormatting sqref="A16:B17 C29:E30">
    <cfRule type="expression" dxfId="21" priority="2">
      <formula>F=6</formula>
    </cfRule>
  </conditionalFormatting>
  <conditionalFormatting sqref="A17:B17 C30:E30">
    <cfRule type="expression" dxfId="20" priority="1">
      <formula>F=7</formula>
    </cfRule>
  </conditionalFormatting>
  <conditionalFormatting sqref="C16:AY17">
    <cfRule type="expression" dxfId="19" priority="28">
      <formula>Q&gt;29</formula>
    </cfRule>
  </conditionalFormatting>
  <conditionalFormatting sqref="C14:AZ16">
    <cfRule type="expression" dxfId="18" priority="26">
      <formula>Q&gt;37</formula>
    </cfRule>
  </conditionalFormatting>
  <conditionalFormatting sqref="D8:Y8">
    <cfRule type="expression" dxfId="17" priority="8">
      <formula>P=13</formula>
    </cfRule>
  </conditionalFormatting>
  <conditionalFormatting sqref="D9:AY17">
    <cfRule type="expression" dxfId="16" priority="7">
      <formula>P=13</formula>
    </cfRule>
  </conditionalFormatting>
  <conditionalFormatting sqref="D14:AY14">
    <cfRule type="expression" dxfId="15" priority="25">
      <formula>Q&gt;37</formula>
    </cfRule>
  </conditionalFormatting>
  <conditionalFormatting sqref="D16:AY16">
    <cfRule type="expression" dxfId="14" priority="27">
      <formula>Q&gt;29</formula>
    </cfRule>
  </conditionalFormatting>
  <conditionalFormatting sqref="X9:AY17">
    <cfRule type="expression" dxfId="13" priority="24">
      <formula>Q=20</formula>
    </cfRule>
  </conditionalFormatting>
  <conditionalFormatting sqref="Z9:AY17">
    <cfRule type="expression" dxfId="12" priority="22">
      <formula>Q=22</formula>
    </cfRule>
  </conditionalFormatting>
  <conditionalFormatting sqref="AB9:AY17">
    <cfRule type="expression" dxfId="11" priority="21">
      <formula>Q=24</formula>
    </cfRule>
  </conditionalFormatting>
  <conditionalFormatting sqref="AD9:AY17">
    <cfRule type="expression" dxfId="10" priority="20">
      <formula>Q=26</formula>
    </cfRule>
  </conditionalFormatting>
  <conditionalFormatting sqref="AF9:AY17">
    <cfRule type="expression" dxfId="9" priority="19">
      <formula>Q=28</formula>
    </cfRule>
  </conditionalFormatting>
  <conditionalFormatting sqref="AH9:AY17">
    <cfRule type="expression" dxfId="8" priority="18">
      <formula>Q=30</formula>
    </cfRule>
  </conditionalFormatting>
  <conditionalFormatting sqref="AJ9:AY17">
    <cfRule type="expression" dxfId="7" priority="17">
      <formula>Q=32</formula>
    </cfRule>
  </conditionalFormatting>
  <conditionalFormatting sqref="AL9:AY17">
    <cfRule type="expression" dxfId="6" priority="16">
      <formula>Q=34</formula>
    </cfRule>
  </conditionalFormatting>
  <conditionalFormatting sqref="AN9:AY17">
    <cfRule type="expression" dxfId="5" priority="14">
      <formula>Q=36</formula>
    </cfRule>
  </conditionalFormatting>
  <conditionalFormatting sqref="AP9:AY17">
    <cfRule type="expression" dxfId="4" priority="13">
      <formula>Q=38</formula>
    </cfRule>
  </conditionalFormatting>
  <conditionalFormatting sqref="AR9:AY14">
    <cfRule type="expression" dxfId="3" priority="12">
      <formula>Q=40</formula>
    </cfRule>
  </conditionalFormatting>
  <conditionalFormatting sqref="AT9:AY14">
    <cfRule type="expression" dxfId="2" priority="11">
      <formula>Q=42</formula>
    </cfRule>
  </conditionalFormatting>
  <conditionalFormatting sqref="AV9:AY14">
    <cfRule type="expression" dxfId="1" priority="10">
      <formula>Q=44</formula>
    </cfRule>
  </conditionalFormatting>
  <conditionalFormatting sqref="AX9:AY14">
    <cfRule type="expression" dxfId="0" priority="9">
      <formula>Q=46</formula>
    </cfRule>
  </conditionalFormatting>
  <dataValidations count="3">
    <dataValidation type="list" allowBlank="1" showInputMessage="1" showErrorMessage="1" sqref="D7" xr:uid="{00000000-0002-0000-0000-000000000000}">
      <formula1>"20,22,24,26,28,30,32,34,36,38,40,42,44,46,48"</formula1>
    </dataValidation>
    <dataValidation type="list" allowBlank="1" showInputMessage="1" showErrorMessage="1" sqref="D4" xr:uid="{DA6525C3-E040-407F-90CB-A3E10C1BAF88}">
      <formula1>"2,4,6,8,10,13"</formula1>
    </dataValidation>
    <dataValidation type="list" allowBlank="1" showInputMessage="1" showErrorMessage="1" sqref="D5" xr:uid="{CBC68C61-2EC8-40B2-A24D-38C52221406B}">
      <formula1>"2,3,4,5,6,7,8"</formula1>
    </dataValidation>
  </dataValidation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Lind</vt:lpstr>
      <vt:lpstr>F</vt:lpstr>
      <vt:lpstr>P</vt:lpstr>
      <vt:lpstr>Q</vt:lpstr>
    </vt:vector>
  </TitlesOfParts>
  <Company>Avd. för elektricitetslära UU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Bernhoff</dc:creator>
  <cp:lastModifiedBy>Hans Bernhoff</cp:lastModifiedBy>
  <dcterms:created xsi:type="dcterms:W3CDTF">2021-02-10T13:12:37Z</dcterms:created>
  <dcterms:modified xsi:type="dcterms:W3CDTF">2026-06-18T08:48:30Z</dcterms:modified>
</cp:coreProperties>
</file>
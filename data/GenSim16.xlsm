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5536A3E9-C6D1-42D7-8235-FFE4A03D62CF}" xr6:coauthVersionLast="47" xr6:coauthVersionMax="47" xr10:uidLastSave="{00000000-0000-0000-0000-000000000000}"/>
  <bookViews>
    <workbookView xWindow="8925" yWindow="225" windowWidth="50880" windowHeight="20880" xr2:uid="{00000000-000D-0000-FFFF-FFFF00000000}"/>
  </bookViews>
  <sheets>
    <sheet name="Lind" sheetId="2" r:id="rId1"/>
    <sheet name="Räkn" sheetId="1" r:id="rId2"/>
    <sheet name="plot" sheetId="4" r:id="rId3"/>
    <sheet name="Rot" sheetId="7" r:id="rId4"/>
  </sheets>
  <functionGroups builtInGroupCount="19"/>
  <definedNames>
    <definedName name="Q">Lind!$D$7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2" i="2" l="1"/>
  <c r="E31" i="2"/>
  <c r="E30" i="2"/>
  <c r="E29" i="2"/>
  <c r="E27" i="2"/>
  <c r="E26" i="2"/>
  <c r="E25" i="2"/>
  <c r="AV52" i="1" l="1"/>
  <c r="AU52" i="1"/>
  <c r="AT52" i="1"/>
  <c r="AS52" i="1"/>
  <c r="AR52" i="1"/>
  <c r="AY51" i="1"/>
  <c r="AX51" i="1"/>
  <c r="AV51" i="1"/>
  <c r="AV32" i="1" s="1"/>
  <c r="AU38" i="1"/>
  <c r="AY22" i="1"/>
  <c r="AX22" i="1"/>
  <c r="AW22" i="1"/>
  <c r="AV22" i="1"/>
  <c r="AU22" i="1"/>
  <c r="AT22" i="1"/>
  <c r="AS22" i="1"/>
  <c r="AR22" i="1"/>
  <c r="AQ22" i="1"/>
  <c r="AP22" i="1"/>
  <c r="AY21" i="1"/>
  <c r="AX21" i="1"/>
  <c r="AW21" i="1"/>
  <c r="AV21" i="1"/>
  <c r="AU21" i="1"/>
  <c r="AT21" i="1"/>
  <c r="AS21" i="1"/>
  <c r="AR21" i="1"/>
  <c r="AQ21" i="1"/>
  <c r="AP21" i="1"/>
  <c r="AY20" i="1"/>
  <c r="AX20" i="1"/>
  <c r="AW20" i="1"/>
  <c r="AV20" i="1"/>
  <c r="AU20" i="1"/>
  <c r="AU47" i="1" s="1"/>
  <c r="AT20" i="1"/>
  <c r="AT47" i="1" s="1"/>
  <c r="AS20" i="1"/>
  <c r="AR20" i="1"/>
  <c r="AQ20" i="1"/>
  <c r="AP20" i="1"/>
  <c r="AY19" i="1"/>
  <c r="AX19" i="1"/>
  <c r="AW19" i="1"/>
  <c r="AV19" i="1"/>
  <c r="AU19" i="1"/>
  <c r="AT19" i="1"/>
  <c r="AS19" i="1"/>
  <c r="AR19" i="1"/>
  <c r="AR40" i="1" s="1"/>
  <c r="AQ19" i="1"/>
  <c r="AP19" i="1"/>
  <c r="AY18" i="1"/>
  <c r="AX18" i="1"/>
  <c r="AW18" i="1"/>
  <c r="AV18" i="1"/>
  <c r="AU18" i="1"/>
  <c r="AU49" i="1" s="1"/>
  <c r="AT18" i="1"/>
  <c r="AT49" i="1" s="1"/>
  <c r="AS18" i="1"/>
  <c r="AS49" i="1" s="1"/>
  <c r="AS31" i="1" s="1"/>
  <c r="AR18" i="1"/>
  <c r="AR49" i="1" s="1"/>
  <c r="AR31" i="1" s="1"/>
  <c r="AQ18" i="1"/>
  <c r="AP18" i="1"/>
  <c r="AY17" i="1"/>
  <c r="AX17" i="1"/>
  <c r="AW17" i="1"/>
  <c r="AV17" i="1"/>
  <c r="AU17" i="1"/>
  <c r="AT17" i="1"/>
  <c r="AS17" i="1"/>
  <c r="AR17" i="1"/>
  <c r="AR44" i="1" s="1"/>
  <c r="AQ17" i="1"/>
  <c r="AP17" i="1"/>
  <c r="AY16" i="1"/>
  <c r="AY48" i="1" s="1"/>
  <c r="AX16" i="1"/>
  <c r="AX48" i="1" s="1"/>
  <c r="AW16" i="1"/>
  <c r="AV16" i="1"/>
  <c r="AU16" i="1"/>
  <c r="AT16" i="1"/>
  <c r="AS16" i="1"/>
  <c r="AR16" i="1"/>
  <c r="AR50" i="1" s="1"/>
  <c r="AQ16" i="1"/>
  <c r="AP16" i="1"/>
  <c r="AY15" i="1"/>
  <c r="AY52" i="1" s="1"/>
  <c r="AX15" i="1"/>
  <c r="AX44" i="1" s="1"/>
  <c r="AW15" i="1"/>
  <c r="AW51" i="1" s="1"/>
  <c r="AV15" i="1"/>
  <c r="AV48" i="1" s="1"/>
  <c r="AU15" i="1"/>
  <c r="AU51" i="1" s="1"/>
  <c r="AU32" i="1" s="1"/>
  <c r="AT15" i="1"/>
  <c r="AT51" i="1" s="1"/>
  <c r="AT32" i="1" s="1"/>
  <c r="AS15" i="1"/>
  <c r="AS50" i="1" s="1"/>
  <c r="AR15" i="1"/>
  <c r="AQ15" i="1"/>
  <c r="AP15" i="1"/>
  <c r="AU31" i="1" l="1"/>
  <c r="AY32" i="1"/>
  <c r="AT44" i="1"/>
  <c r="AY45" i="1"/>
  <c r="AP38" i="1"/>
  <c r="AV44" i="1"/>
  <c r="AQ50" i="1"/>
  <c r="AS43" i="1"/>
  <c r="AW47" i="1"/>
  <c r="AT40" i="1"/>
  <c r="AX47" i="1"/>
  <c r="AX30" i="1" s="1"/>
  <c r="AQ37" i="1"/>
  <c r="AY38" i="1"/>
  <c r="AU46" i="1"/>
  <c r="AY50" i="1"/>
  <c r="AV40" i="1"/>
  <c r="AR48" i="1"/>
  <c r="AQ51" i="1"/>
  <c r="AW37" i="1"/>
  <c r="AW25" i="1" s="1"/>
  <c r="AS39" i="1"/>
  <c r="AW40" i="1"/>
  <c r="AS42" i="1"/>
  <c r="AW43" i="1"/>
  <c r="AS45" i="1"/>
  <c r="AW46" i="1"/>
  <c r="AS48" i="1"/>
  <c r="AW49" i="1"/>
  <c r="AW31" i="1" s="1"/>
  <c r="AS51" i="1"/>
  <c r="AS32" i="1" s="1"/>
  <c r="AW52" i="1"/>
  <c r="AW32" i="1" s="1"/>
  <c r="AT38" i="1"/>
  <c r="AX42" i="1"/>
  <c r="AX45" i="1"/>
  <c r="AT50" i="1"/>
  <c r="AT31" i="1" s="1"/>
  <c r="AY39" i="1"/>
  <c r="AU44" i="1"/>
  <c r="AU50" i="1"/>
  <c r="AV38" i="1"/>
  <c r="AV41" i="1"/>
  <c r="AR46" i="1"/>
  <c r="AV50" i="1"/>
  <c r="AW38" i="1"/>
  <c r="AW41" i="1"/>
  <c r="AW27" i="1" s="1"/>
  <c r="AS46" i="1"/>
  <c r="AW50" i="1"/>
  <c r="AT37" i="1"/>
  <c r="AX41" i="1"/>
  <c r="AT46" i="1"/>
  <c r="AX50" i="1"/>
  <c r="AU37" i="1"/>
  <c r="AU25" i="1" s="1"/>
  <c r="AY41" i="1"/>
  <c r="AY27" i="1" s="1"/>
  <c r="AU43" i="1"/>
  <c r="AU28" i="1" s="1"/>
  <c r="AY47" i="1"/>
  <c r="AY30" i="1" s="1"/>
  <c r="AP52" i="1"/>
  <c r="AV37" i="1"/>
  <c r="AV25" i="1" s="1"/>
  <c r="AR42" i="1"/>
  <c r="AR45" i="1"/>
  <c r="AR51" i="1"/>
  <c r="AR32" i="1" s="1"/>
  <c r="AX37" i="1"/>
  <c r="AT39" i="1"/>
  <c r="AT26" i="1" s="1"/>
  <c r="AX40" i="1"/>
  <c r="AT42" i="1"/>
  <c r="AX43" i="1"/>
  <c r="AX28" i="1" s="1"/>
  <c r="AT45" i="1"/>
  <c r="AT29" i="1" s="1"/>
  <c r="AX46" i="1"/>
  <c r="AT48" i="1"/>
  <c r="AT30" i="1" s="1"/>
  <c r="AX49" i="1"/>
  <c r="AX31" i="1" s="1"/>
  <c r="AX52" i="1"/>
  <c r="AX32" i="1" s="1"/>
  <c r="AT41" i="1"/>
  <c r="AU41" i="1"/>
  <c r="AR37" i="1"/>
  <c r="AR43" i="1"/>
  <c r="AR28" i="1" s="1"/>
  <c r="AS37" i="1"/>
  <c r="AW44" i="1"/>
  <c r="AP49" i="1"/>
  <c r="AX38" i="1"/>
  <c r="AT43" i="1"/>
  <c r="AT28" i="1" s="1"/>
  <c r="AU40" i="1"/>
  <c r="AY44" i="1"/>
  <c r="AR39" i="1"/>
  <c r="AR26" i="1" s="1"/>
  <c r="AV43" i="1"/>
  <c r="AV46" i="1"/>
  <c r="AV49" i="1"/>
  <c r="AY37" i="1"/>
  <c r="AU39" i="1"/>
  <c r="AY40" i="1"/>
  <c r="AU42" i="1"/>
  <c r="AY43" i="1"/>
  <c r="AU45" i="1"/>
  <c r="AU29" i="1" s="1"/>
  <c r="AY46" i="1"/>
  <c r="AU48" i="1"/>
  <c r="AU30" i="1" s="1"/>
  <c r="AY49" i="1"/>
  <c r="AY31" i="1" s="1"/>
  <c r="AX39" i="1"/>
  <c r="AY42" i="1"/>
  <c r="AV47" i="1"/>
  <c r="AV30" i="1" s="1"/>
  <c r="AS40" i="1"/>
  <c r="AR38" i="1"/>
  <c r="AV39" i="1"/>
  <c r="AR41" i="1"/>
  <c r="AV42" i="1"/>
  <c r="AV45" i="1"/>
  <c r="AV29" i="1" s="1"/>
  <c r="AR47" i="1"/>
  <c r="AR30" i="1" s="1"/>
  <c r="AS38" i="1"/>
  <c r="AW39" i="1"/>
  <c r="AW26" i="1" s="1"/>
  <c r="AS41" i="1"/>
  <c r="AS27" i="1" s="1"/>
  <c r="AW42" i="1"/>
  <c r="AS44" i="1"/>
  <c r="AW45" i="1"/>
  <c r="AS47" i="1"/>
  <c r="AW48" i="1"/>
  <c r="AP44" i="1"/>
  <c r="AQ44" i="1"/>
  <c r="AP37" i="1"/>
  <c r="AQ43" i="1"/>
  <c r="AQ28" i="1" s="1"/>
  <c r="AP42" i="1"/>
  <c r="AQ42" i="1"/>
  <c r="AQ48" i="1"/>
  <c r="AP41" i="1"/>
  <c r="AP47" i="1"/>
  <c r="AQ41" i="1"/>
  <c r="AQ47" i="1"/>
  <c r="AP50" i="1"/>
  <c r="AQ38" i="1"/>
  <c r="AQ25" i="1" s="1"/>
  <c r="AP43" i="1"/>
  <c r="AQ49" i="1"/>
  <c r="AP48" i="1"/>
  <c r="AP40" i="1"/>
  <c r="AP46" i="1"/>
  <c r="AQ40" i="1"/>
  <c r="AQ46" i="1"/>
  <c r="AP39" i="1"/>
  <c r="AP45" i="1"/>
  <c r="AP51" i="1"/>
  <c r="AQ52" i="1"/>
  <c r="AQ39" i="1"/>
  <c r="AQ45" i="1"/>
  <c r="D32" i="2"/>
  <c r="D31" i="2"/>
  <c r="D30" i="2"/>
  <c r="D29" i="2"/>
  <c r="E28" i="2"/>
  <c r="D28" i="2"/>
  <c r="D27" i="2"/>
  <c r="D26" i="2"/>
  <c r="D25" i="2"/>
  <c r="AO22" i="1"/>
  <c r="AN22" i="1"/>
  <c r="AM22" i="1"/>
  <c r="AL22" i="1"/>
  <c r="AK22" i="1"/>
  <c r="AJ22" i="1"/>
  <c r="AI22" i="1"/>
  <c r="AH22" i="1"/>
  <c r="AO21" i="1"/>
  <c r="AN21" i="1"/>
  <c r="AM21" i="1"/>
  <c r="AL21" i="1"/>
  <c r="AK21" i="1"/>
  <c r="AJ21" i="1"/>
  <c r="AI21" i="1"/>
  <c r="AH21" i="1"/>
  <c r="AO20" i="1"/>
  <c r="AN20" i="1"/>
  <c r="AM20" i="1"/>
  <c r="AL20" i="1"/>
  <c r="AK20" i="1"/>
  <c r="AJ20" i="1"/>
  <c r="AI20" i="1"/>
  <c r="AH20" i="1"/>
  <c r="AO19" i="1"/>
  <c r="AN19" i="1"/>
  <c r="AM19" i="1"/>
  <c r="AL19" i="1"/>
  <c r="AK19" i="1"/>
  <c r="AJ19" i="1"/>
  <c r="AI19" i="1"/>
  <c r="AH19" i="1"/>
  <c r="AO18" i="1"/>
  <c r="AN18" i="1"/>
  <c r="AM18" i="1"/>
  <c r="AL18" i="1"/>
  <c r="AK18" i="1"/>
  <c r="AJ18" i="1"/>
  <c r="AI18" i="1"/>
  <c r="AH18" i="1"/>
  <c r="AO17" i="1"/>
  <c r="AN17" i="1"/>
  <c r="AM17" i="1"/>
  <c r="AL17" i="1"/>
  <c r="AK17" i="1"/>
  <c r="AJ17" i="1"/>
  <c r="AI17" i="1"/>
  <c r="AH17" i="1"/>
  <c r="AO16" i="1"/>
  <c r="AN16" i="1"/>
  <c r="AM16" i="1"/>
  <c r="AL16" i="1"/>
  <c r="AK16" i="1"/>
  <c r="AJ16" i="1"/>
  <c r="AI16" i="1"/>
  <c r="AH16" i="1"/>
  <c r="AO15" i="1"/>
  <c r="AN15" i="1"/>
  <c r="AM15" i="1"/>
  <c r="AL15" i="1"/>
  <c r="AK15" i="1"/>
  <c r="AJ15" i="1"/>
  <c r="AI15" i="1"/>
  <c r="AH15" i="1"/>
  <c r="AP25" i="1" l="1"/>
  <c r="AY29" i="1"/>
  <c r="AR27" i="1"/>
  <c r="AQ32" i="1"/>
  <c r="AP32" i="1"/>
  <c r="AS30" i="1"/>
  <c r="AU26" i="1"/>
  <c r="AS25" i="1"/>
  <c r="AS29" i="1"/>
  <c r="AW29" i="1"/>
  <c r="AY25" i="1"/>
  <c r="AW28" i="1"/>
  <c r="AQ31" i="1"/>
  <c r="AV31" i="1"/>
  <c r="AR25" i="1"/>
  <c r="AX25" i="1"/>
  <c r="AX27" i="1"/>
  <c r="AY26" i="1"/>
  <c r="AY28" i="1"/>
  <c r="AV26" i="1"/>
  <c r="AP27" i="1"/>
  <c r="AU27" i="1"/>
  <c r="AT25" i="1"/>
  <c r="AW30" i="1"/>
  <c r="AV27" i="1"/>
  <c r="AP31" i="1"/>
  <c r="AX26" i="1"/>
  <c r="AV28" i="1"/>
  <c r="AT27" i="1"/>
  <c r="AR29" i="1"/>
  <c r="AX29" i="1"/>
  <c r="AS26" i="1"/>
  <c r="AS28" i="1"/>
  <c r="AK37" i="1"/>
  <c r="AQ26" i="1"/>
  <c r="AQ30" i="1"/>
  <c r="AP29" i="1"/>
  <c r="AQ27" i="1"/>
  <c r="AP26" i="1"/>
  <c r="AP30" i="1"/>
  <c r="AQ29" i="1"/>
  <c r="AP28" i="1"/>
  <c r="AI40" i="1"/>
  <c r="AL40" i="1"/>
  <c r="AN44" i="1"/>
  <c r="AM52" i="1"/>
  <c r="AH37" i="1"/>
  <c r="AH43" i="1"/>
  <c r="AL50" i="1"/>
  <c r="AM38" i="1"/>
  <c r="AM44" i="1"/>
  <c r="AI52" i="1"/>
  <c r="AN41" i="1"/>
  <c r="AJ49" i="1"/>
  <c r="AO38" i="1"/>
  <c r="AK46" i="1"/>
  <c r="AH39" i="1"/>
  <c r="AH45" i="1"/>
  <c r="AI39" i="1"/>
  <c r="AM46" i="1"/>
  <c r="AJ39" i="1"/>
  <c r="AJ42" i="1"/>
  <c r="AN46" i="1"/>
  <c r="AN49" i="1"/>
  <c r="AN52" i="1"/>
  <c r="AO37" i="1"/>
  <c r="AK39" i="1"/>
  <c r="AO40" i="1"/>
  <c r="AK42" i="1"/>
  <c r="AO43" i="1"/>
  <c r="AK45" i="1"/>
  <c r="AO46" i="1"/>
  <c r="AK48" i="1"/>
  <c r="AO49" i="1"/>
  <c r="AK51" i="1"/>
  <c r="AO52" i="1"/>
  <c r="AL41" i="1"/>
  <c r="AH52" i="1"/>
  <c r="AI37" i="1"/>
  <c r="AM41" i="1"/>
  <c r="AI46" i="1"/>
  <c r="AM50" i="1"/>
  <c r="AN38" i="1"/>
  <c r="AJ43" i="1"/>
  <c r="AN47" i="1"/>
  <c r="AN50" i="1"/>
  <c r="AK40" i="1"/>
  <c r="AO44" i="1"/>
  <c r="AO50" i="1"/>
  <c r="AK52" i="1"/>
  <c r="AH42" i="1"/>
  <c r="AL46" i="1"/>
  <c r="AL49" i="1"/>
  <c r="AL52" i="1"/>
  <c r="AI42" i="1"/>
  <c r="AM43" i="1"/>
  <c r="AI48" i="1"/>
  <c r="AM49" i="1"/>
  <c r="AN37" i="1"/>
  <c r="AN40" i="1"/>
  <c r="AN43" i="1"/>
  <c r="AJ45" i="1"/>
  <c r="AJ48" i="1"/>
  <c r="AJ51" i="1"/>
  <c r="AH38" i="1"/>
  <c r="AL39" i="1"/>
  <c r="AH41" i="1"/>
  <c r="AL42" i="1"/>
  <c r="AH44" i="1"/>
  <c r="AL45" i="1"/>
  <c r="AH47" i="1"/>
  <c r="AL48" i="1"/>
  <c r="AH50" i="1"/>
  <c r="AL51" i="1"/>
  <c r="AH40" i="1"/>
  <c r="AH46" i="1"/>
  <c r="AH49" i="1"/>
  <c r="AI43" i="1"/>
  <c r="AI49" i="1"/>
  <c r="AJ37" i="1"/>
  <c r="AJ52" i="1"/>
  <c r="AO41" i="1"/>
  <c r="AO47" i="1"/>
  <c r="AL37" i="1"/>
  <c r="AL43" i="1"/>
  <c r="AL28" i="1" s="1"/>
  <c r="AH51" i="1"/>
  <c r="AH32" i="1" s="1"/>
  <c r="AM37" i="1"/>
  <c r="AI45" i="1"/>
  <c r="AI51" i="1"/>
  <c r="AI38" i="1"/>
  <c r="AI41" i="1"/>
  <c r="AI27" i="1" s="1"/>
  <c r="AI44" i="1"/>
  <c r="AI47" i="1"/>
  <c r="AI30" i="1" s="1"/>
  <c r="AI50" i="1"/>
  <c r="AJ38" i="1"/>
  <c r="AN39" i="1"/>
  <c r="AJ41" i="1"/>
  <c r="AN42" i="1"/>
  <c r="AJ44" i="1"/>
  <c r="AN45" i="1"/>
  <c r="AJ47" i="1"/>
  <c r="AN48" i="1"/>
  <c r="AJ50" i="1"/>
  <c r="AN51" i="1"/>
  <c r="AL38" i="1"/>
  <c r="AL44" i="1"/>
  <c r="AL47" i="1"/>
  <c r="AM47" i="1"/>
  <c r="AJ40" i="1"/>
  <c r="AJ46" i="1"/>
  <c r="AK43" i="1"/>
  <c r="AK49" i="1"/>
  <c r="AH48" i="1"/>
  <c r="AM40" i="1"/>
  <c r="AM39" i="1"/>
  <c r="AM26" i="1" s="1"/>
  <c r="AM42" i="1"/>
  <c r="AM45" i="1"/>
  <c r="AM48" i="1"/>
  <c r="AM51" i="1"/>
  <c r="AK38" i="1"/>
  <c r="AO39" i="1"/>
  <c r="AK41" i="1"/>
  <c r="AO42" i="1"/>
  <c r="AK44" i="1"/>
  <c r="AO45" i="1"/>
  <c r="AK47" i="1"/>
  <c r="AO48" i="1"/>
  <c r="AK50" i="1"/>
  <c r="AO51" i="1"/>
  <c r="AL27" i="1" l="1"/>
  <c r="AM30" i="1"/>
  <c r="AL25" i="1"/>
  <c r="AM32" i="1"/>
  <c r="AL32" i="1"/>
  <c r="AM31" i="1"/>
  <c r="AN28" i="1"/>
  <c r="AJ31" i="1"/>
  <c r="AH30" i="1"/>
  <c r="AI26" i="1"/>
  <c r="AN29" i="1"/>
  <c r="AJ32" i="1"/>
  <c r="AM27" i="1"/>
  <c r="AL26" i="1"/>
  <c r="AN26" i="1"/>
  <c r="AL31" i="1"/>
  <c r="AK26" i="1"/>
  <c r="AI31" i="1"/>
  <c r="AK31" i="1"/>
  <c r="AI32" i="1"/>
  <c r="AH31" i="1"/>
  <c r="AH26" i="1"/>
  <c r="AN31" i="1"/>
  <c r="AN25" i="1"/>
  <c r="AJ27" i="1"/>
  <c r="AJ30" i="1"/>
  <c r="AN30" i="1"/>
  <c r="AM28" i="1"/>
  <c r="AO26" i="1"/>
  <c r="AN27" i="1"/>
  <c r="AL30" i="1"/>
  <c r="AO30" i="1"/>
  <c r="AK32" i="1"/>
  <c r="AO32" i="1"/>
  <c r="AM29" i="1"/>
  <c r="AO27" i="1"/>
  <c r="AL29" i="1"/>
  <c r="AO31" i="1"/>
  <c r="AJ26" i="1"/>
  <c r="AK30" i="1"/>
  <c r="AH27" i="1"/>
  <c r="AK29" i="1"/>
  <c r="AH25" i="1"/>
  <c r="AK28" i="1"/>
  <c r="AI29" i="1"/>
  <c r="AK27" i="1"/>
  <c r="AJ29" i="1"/>
  <c r="AN32" i="1"/>
  <c r="AJ28" i="1"/>
  <c r="AH28" i="1"/>
  <c r="AO29" i="1"/>
  <c r="AI28" i="1"/>
  <c r="AO28" i="1"/>
  <c r="AH29" i="1"/>
  <c r="AO25" i="1"/>
  <c r="AI25" i="1"/>
  <c r="AK25" i="1"/>
  <c r="AJ25" i="1"/>
  <c r="AM25" i="1"/>
  <c r="BA16" i="1"/>
  <c r="BA17" i="1" s="1"/>
  <c r="BA18" i="1" s="1"/>
  <c r="BA19" i="1" s="1"/>
  <c r="BA20" i="1" s="1"/>
  <c r="BA21" i="1" s="1"/>
  <c r="BA22" i="1" s="1"/>
  <c r="BA23" i="1" s="1"/>
  <c r="BA24" i="1" s="1"/>
  <c r="BA25" i="1" s="1"/>
  <c r="BA26" i="1" s="1"/>
  <c r="BA27" i="1" s="1"/>
  <c r="BA28" i="1" s="1"/>
  <c r="BA29" i="1" s="1"/>
  <c r="BA30" i="1" s="1"/>
  <c r="BA31" i="1" s="1"/>
  <c r="BA32" i="1" s="1"/>
  <c r="BA33" i="1" s="1"/>
  <c r="BA34" i="1" s="1"/>
  <c r="BA35" i="1" s="1"/>
  <c r="BA36" i="1" s="1"/>
  <c r="BA37" i="1" s="1"/>
  <c r="BA38" i="1" s="1"/>
  <c r="BA39" i="1" s="1"/>
  <c r="BA40" i="1" s="1"/>
  <c r="BA41" i="1" s="1"/>
  <c r="BA42" i="1" s="1"/>
  <c r="BA43" i="1" s="1"/>
  <c r="BA44" i="1" s="1"/>
  <c r="BA45" i="1" s="1"/>
  <c r="BA46" i="1" s="1"/>
  <c r="BA47" i="1" s="1"/>
  <c r="BA48" i="1" s="1"/>
  <c r="BA49" i="1" s="1"/>
  <c r="BA50" i="1" s="1"/>
  <c r="BA51" i="1" s="1"/>
  <c r="BA52" i="1" s="1"/>
  <c r="BA53" i="1" s="1"/>
  <c r="BA54" i="1" s="1"/>
  <c r="BA55" i="1" s="1"/>
  <c r="BA56" i="1" s="1"/>
  <c r="BA57" i="1" s="1"/>
  <c r="BA58" i="1" s="1"/>
  <c r="BA59" i="1" s="1"/>
  <c r="BA60" i="1" s="1"/>
  <c r="BA61" i="1" s="1"/>
  <c r="BA62" i="1" s="1"/>
  <c r="BA63" i="1" s="1"/>
  <c r="BA64" i="1" s="1"/>
  <c r="BA65" i="1" s="1"/>
  <c r="BA66" i="1" s="1"/>
  <c r="BA67" i="1" s="1"/>
  <c r="BA68" i="1" s="1"/>
  <c r="BA69" i="1" s="1"/>
  <c r="BA70" i="1" s="1"/>
  <c r="BA71" i="1" s="1"/>
  <c r="BA72" i="1" s="1"/>
  <c r="BA73" i="1" s="1"/>
  <c r="BA74" i="1" s="1"/>
  <c r="BA75" i="1" s="1"/>
  <c r="BA76" i="1" s="1"/>
  <c r="BA77" i="1" s="1"/>
  <c r="BA78" i="1" s="1"/>
  <c r="BA79" i="1" s="1"/>
  <c r="BA80" i="1" s="1"/>
  <c r="BA81" i="1" s="1"/>
  <c r="BA82" i="1" s="1"/>
  <c r="BA83" i="1" s="1"/>
  <c r="BA84" i="1" s="1"/>
  <c r="BA85" i="1" s="1"/>
  <c r="BA86" i="1" s="1"/>
  <c r="BA87" i="1" s="1"/>
  <c r="BA88" i="1" s="1"/>
  <c r="BA89" i="1" s="1"/>
  <c r="BA90" i="1" s="1"/>
  <c r="BA91" i="1" s="1"/>
  <c r="BA92" i="1" s="1"/>
  <c r="BA93" i="1" s="1"/>
  <c r="BA94" i="1" s="1"/>
  <c r="BA95" i="1" s="1"/>
  <c r="BA96" i="1" s="1"/>
  <c r="BA97" i="1" s="1"/>
  <c r="BA98" i="1" s="1"/>
  <c r="BA99" i="1" s="1"/>
  <c r="BA100" i="1" s="1"/>
  <c r="BA101" i="1" s="1"/>
  <c r="BA102" i="1" s="1"/>
  <c r="BA103" i="1" s="1"/>
  <c r="BA104" i="1" s="1"/>
  <c r="BA105" i="1" s="1"/>
  <c r="Z3" i="1"/>
  <c r="X4" i="2"/>
  <c r="Z2" i="1" s="1"/>
  <c r="D5" i="1"/>
  <c r="D11" i="7"/>
  <c r="C12" i="7"/>
  <c r="C13" i="7" s="1"/>
  <c r="C14" i="7" s="1"/>
  <c r="D14" i="7" s="1"/>
  <c r="E13" i="7"/>
  <c r="E11" i="7"/>
  <c r="E12" i="7"/>
  <c r="E14" i="7"/>
  <c r="D13" i="7" l="1"/>
  <c r="D12" i="7"/>
  <c r="Z4" i="1"/>
  <c r="Z5" i="1" s="1"/>
  <c r="BA106" i="1"/>
  <c r="C15" i="7"/>
  <c r="D15" i="7" s="1"/>
  <c r="E15" i="7"/>
  <c r="BA107" i="1" l="1"/>
  <c r="C16" i="7"/>
  <c r="D16" i="7" s="1"/>
  <c r="E16" i="7"/>
  <c r="BA108" i="1" l="1"/>
  <c r="C17" i="7"/>
  <c r="D17" i="7" s="1"/>
  <c r="E17" i="7"/>
  <c r="BA109" i="1" l="1"/>
  <c r="C18" i="7"/>
  <c r="D18" i="7" s="1"/>
  <c r="S4" i="2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E18" i="7"/>
  <c r="BC10" i="1" l="1"/>
  <c r="BC4" i="1"/>
  <c r="BC3" i="1"/>
  <c r="BB7" i="1"/>
  <c r="BC5" i="1"/>
  <c r="BB10" i="1"/>
  <c r="BB4" i="1"/>
  <c r="BC9" i="1"/>
  <c r="BC7" i="1"/>
  <c r="BB6" i="1"/>
  <c r="BB9" i="1"/>
  <c r="BB3" i="1"/>
  <c r="BB8" i="1"/>
  <c r="BC6" i="1"/>
  <c r="BB5" i="1"/>
  <c r="BC8" i="1"/>
  <c r="BA110" i="1"/>
  <c r="AG50" i="1"/>
  <c r="AG51" i="1"/>
  <c r="AG52" i="1"/>
  <c r="AG49" i="1"/>
  <c r="Y50" i="1"/>
  <c r="Y51" i="1"/>
  <c r="Y52" i="1"/>
  <c r="Y49" i="1"/>
  <c r="Q50" i="1"/>
  <c r="Q51" i="1"/>
  <c r="Q52" i="1"/>
  <c r="Q49" i="1"/>
  <c r="I50" i="1"/>
  <c r="I51" i="1"/>
  <c r="I52" i="1"/>
  <c r="I49" i="1"/>
  <c r="AF51" i="1"/>
  <c r="AF52" i="1"/>
  <c r="AF50" i="1"/>
  <c r="AF49" i="1"/>
  <c r="X51" i="1"/>
  <c r="X49" i="1"/>
  <c r="X52" i="1"/>
  <c r="X50" i="1"/>
  <c r="P51" i="1"/>
  <c r="P52" i="1"/>
  <c r="P50" i="1"/>
  <c r="P49" i="1"/>
  <c r="H51" i="1"/>
  <c r="H52" i="1"/>
  <c r="H49" i="1"/>
  <c r="H50" i="1"/>
  <c r="W51" i="1"/>
  <c r="W52" i="1"/>
  <c r="W49" i="1"/>
  <c r="W50" i="1"/>
  <c r="O51" i="1"/>
  <c r="O52" i="1"/>
  <c r="O49" i="1"/>
  <c r="O50" i="1"/>
  <c r="V52" i="1"/>
  <c r="V49" i="1"/>
  <c r="V50" i="1"/>
  <c r="V51" i="1"/>
  <c r="F52" i="1"/>
  <c r="F50" i="1"/>
  <c r="F49" i="1"/>
  <c r="F51" i="1"/>
  <c r="AC52" i="1"/>
  <c r="AC49" i="1"/>
  <c r="AC50" i="1"/>
  <c r="AC51" i="1"/>
  <c r="U52" i="1"/>
  <c r="U49" i="1"/>
  <c r="U50" i="1"/>
  <c r="U51" i="1"/>
  <c r="M52" i="1"/>
  <c r="M49" i="1"/>
  <c r="M50" i="1"/>
  <c r="M51" i="1"/>
  <c r="E52" i="1"/>
  <c r="E49" i="1"/>
  <c r="E50" i="1"/>
  <c r="E51" i="1"/>
  <c r="AE51" i="1"/>
  <c r="AE52" i="1"/>
  <c r="AE49" i="1"/>
  <c r="AE50" i="1"/>
  <c r="G51" i="1"/>
  <c r="G52" i="1"/>
  <c r="G49" i="1"/>
  <c r="G50" i="1"/>
  <c r="AD50" i="1"/>
  <c r="AD52" i="1"/>
  <c r="AD49" i="1"/>
  <c r="AD51" i="1"/>
  <c r="N52" i="1"/>
  <c r="N49" i="1"/>
  <c r="N50" i="1"/>
  <c r="N51" i="1"/>
  <c r="AB49" i="1"/>
  <c r="AB50" i="1"/>
  <c r="AB51" i="1"/>
  <c r="AB52" i="1"/>
  <c r="T49" i="1"/>
  <c r="T51" i="1"/>
  <c r="T50" i="1"/>
  <c r="T52" i="1"/>
  <c r="L49" i="1"/>
  <c r="L50" i="1"/>
  <c r="L51" i="1"/>
  <c r="L52" i="1"/>
  <c r="D51" i="1"/>
  <c r="D49" i="1"/>
  <c r="D50" i="1"/>
  <c r="D52" i="1"/>
  <c r="AA49" i="1"/>
  <c r="AA50" i="1"/>
  <c r="AA51" i="1"/>
  <c r="AA52" i="1"/>
  <c r="S49" i="1"/>
  <c r="S50" i="1"/>
  <c r="S51" i="1"/>
  <c r="S52" i="1"/>
  <c r="K49" i="1"/>
  <c r="K50" i="1"/>
  <c r="K51" i="1"/>
  <c r="K52" i="1"/>
  <c r="Z50" i="1"/>
  <c r="Z51" i="1"/>
  <c r="Z49" i="1"/>
  <c r="Z52" i="1"/>
  <c r="R50" i="1"/>
  <c r="R52" i="1"/>
  <c r="R51" i="1"/>
  <c r="R49" i="1"/>
  <c r="J50" i="1"/>
  <c r="J51" i="1"/>
  <c r="J52" i="1"/>
  <c r="J49" i="1"/>
  <c r="AD46" i="1"/>
  <c r="AD38" i="1"/>
  <c r="AD41" i="1"/>
  <c r="AD43" i="1"/>
  <c r="AD44" i="1"/>
  <c r="AD47" i="1"/>
  <c r="AD39" i="1"/>
  <c r="AD42" i="1"/>
  <c r="AD45" i="1"/>
  <c r="AD37" i="1"/>
  <c r="AD48" i="1"/>
  <c r="AD40" i="1"/>
  <c r="V46" i="1"/>
  <c r="V38" i="1"/>
  <c r="V41" i="1"/>
  <c r="V44" i="1"/>
  <c r="V47" i="1"/>
  <c r="V39" i="1"/>
  <c r="V42" i="1"/>
  <c r="V43" i="1"/>
  <c r="V45" i="1"/>
  <c r="V37" i="1"/>
  <c r="V48" i="1"/>
  <c r="V40" i="1"/>
  <c r="N46" i="1"/>
  <c r="N38" i="1"/>
  <c r="N41" i="1"/>
  <c r="N43" i="1"/>
  <c r="N44" i="1"/>
  <c r="N47" i="1"/>
  <c r="N39" i="1"/>
  <c r="N42" i="1"/>
  <c r="N45" i="1"/>
  <c r="N37" i="1"/>
  <c r="N48" i="1"/>
  <c r="N40" i="1"/>
  <c r="F46" i="1"/>
  <c r="F38" i="1"/>
  <c r="F43" i="1"/>
  <c r="F41" i="1"/>
  <c r="F44" i="1"/>
  <c r="F47" i="1"/>
  <c r="F39" i="1"/>
  <c r="F42" i="1"/>
  <c r="F45" i="1"/>
  <c r="F37" i="1"/>
  <c r="F48" i="1"/>
  <c r="F40" i="1"/>
  <c r="Y47" i="1"/>
  <c r="Y39" i="1"/>
  <c r="Y42" i="1"/>
  <c r="Y45" i="1"/>
  <c r="Y37" i="1"/>
  <c r="Y44" i="1"/>
  <c r="Y48" i="1"/>
  <c r="Y40" i="1"/>
  <c r="Y43" i="1"/>
  <c r="Y46" i="1"/>
  <c r="Y38" i="1"/>
  <c r="Y41" i="1"/>
  <c r="P44" i="1"/>
  <c r="P47" i="1"/>
  <c r="P39" i="1"/>
  <c r="P41" i="1"/>
  <c r="P42" i="1"/>
  <c r="P45" i="1"/>
  <c r="P37" i="1"/>
  <c r="P48" i="1"/>
  <c r="P40" i="1"/>
  <c r="P43" i="1"/>
  <c r="P46" i="1"/>
  <c r="P38" i="1"/>
  <c r="G41" i="1"/>
  <c r="G44" i="1"/>
  <c r="G47" i="1"/>
  <c r="G39" i="1"/>
  <c r="G42" i="1"/>
  <c r="G46" i="1"/>
  <c r="G45" i="1"/>
  <c r="G37" i="1"/>
  <c r="G48" i="1"/>
  <c r="G40" i="1"/>
  <c r="G38" i="1"/>
  <c r="G43" i="1"/>
  <c r="AC43" i="1"/>
  <c r="AC46" i="1"/>
  <c r="AC38" i="1"/>
  <c r="AC41" i="1"/>
  <c r="AC44" i="1"/>
  <c r="AC40" i="1"/>
  <c r="AC47" i="1"/>
  <c r="AC39" i="1"/>
  <c r="AC42" i="1"/>
  <c r="AC45" i="1"/>
  <c r="AC37" i="1"/>
  <c r="AC48" i="1"/>
  <c r="U43" i="1"/>
  <c r="U46" i="1"/>
  <c r="U38" i="1"/>
  <c r="U48" i="1"/>
  <c r="U41" i="1"/>
  <c r="U44" i="1"/>
  <c r="U47" i="1"/>
  <c r="U39" i="1"/>
  <c r="U42" i="1"/>
  <c r="U45" i="1"/>
  <c r="U37" i="1"/>
  <c r="U40" i="1"/>
  <c r="M43" i="1"/>
  <c r="M46" i="1"/>
  <c r="M38" i="1"/>
  <c r="M40" i="1"/>
  <c r="M41" i="1"/>
  <c r="M44" i="1"/>
  <c r="M47" i="1"/>
  <c r="M39" i="1"/>
  <c r="M48" i="1"/>
  <c r="M42" i="1"/>
  <c r="M45" i="1"/>
  <c r="M37" i="1"/>
  <c r="E43" i="1"/>
  <c r="E46" i="1"/>
  <c r="E38" i="1"/>
  <c r="E41" i="1"/>
  <c r="E44" i="1"/>
  <c r="E47" i="1"/>
  <c r="E39" i="1"/>
  <c r="E40" i="1"/>
  <c r="E42" i="1"/>
  <c r="E48" i="1"/>
  <c r="E45" i="1"/>
  <c r="E37" i="1"/>
  <c r="AG47" i="1"/>
  <c r="AG39" i="1"/>
  <c r="AG42" i="1"/>
  <c r="AG45" i="1"/>
  <c r="AG37" i="1"/>
  <c r="AG48" i="1"/>
  <c r="AG40" i="1"/>
  <c r="AG43" i="1"/>
  <c r="AG46" i="1"/>
  <c r="AG38" i="1"/>
  <c r="AG44" i="1"/>
  <c r="AG41" i="1"/>
  <c r="H44" i="1"/>
  <c r="H41" i="1"/>
  <c r="H47" i="1"/>
  <c r="H39" i="1"/>
  <c r="H42" i="1"/>
  <c r="H45" i="1"/>
  <c r="H37" i="1"/>
  <c r="H48" i="1"/>
  <c r="H40" i="1"/>
  <c r="H43" i="1"/>
  <c r="H46" i="1"/>
  <c r="H38" i="1"/>
  <c r="O41" i="1"/>
  <c r="O44" i="1"/>
  <c r="O47" i="1"/>
  <c r="O39" i="1"/>
  <c r="O46" i="1"/>
  <c r="O42" i="1"/>
  <c r="O45" i="1"/>
  <c r="O37" i="1"/>
  <c r="O48" i="1"/>
  <c r="O40" i="1"/>
  <c r="O43" i="1"/>
  <c r="O38" i="1"/>
  <c r="AB48" i="1"/>
  <c r="AB40" i="1"/>
  <c r="AB43" i="1"/>
  <c r="AB37" i="1"/>
  <c r="AB46" i="1"/>
  <c r="AB38" i="1"/>
  <c r="AB41" i="1"/>
  <c r="AB44" i="1"/>
  <c r="AB47" i="1"/>
  <c r="AB39" i="1"/>
  <c r="AB42" i="1"/>
  <c r="AB45" i="1"/>
  <c r="T48" i="1"/>
  <c r="T40" i="1"/>
  <c r="T37" i="1"/>
  <c r="T43" i="1"/>
  <c r="T45" i="1"/>
  <c r="T46" i="1"/>
  <c r="T38" i="1"/>
  <c r="T41" i="1"/>
  <c r="T44" i="1"/>
  <c r="T47" i="1"/>
  <c r="T39" i="1"/>
  <c r="T42" i="1"/>
  <c r="L48" i="1"/>
  <c r="L40" i="1"/>
  <c r="L43" i="1"/>
  <c r="L46" i="1"/>
  <c r="L38" i="1"/>
  <c r="L41" i="1"/>
  <c r="L44" i="1"/>
  <c r="L45" i="1"/>
  <c r="L37" i="1"/>
  <c r="L47" i="1"/>
  <c r="L39" i="1"/>
  <c r="L42" i="1"/>
  <c r="D47" i="1"/>
  <c r="D39" i="1"/>
  <c r="D42" i="1"/>
  <c r="D40" i="1"/>
  <c r="D37" i="1"/>
  <c r="D46" i="1"/>
  <c r="D38" i="1"/>
  <c r="D48" i="1"/>
  <c r="D45" i="1"/>
  <c r="D44" i="1"/>
  <c r="D43" i="1"/>
  <c r="D41" i="1"/>
  <c r="I47" i="1"/>
  <c r="I39" i="1"/>
  <c r="I42" i="1"/>
  <c r="I45" i="1"/>
  <c r="I37" i="1"/>
  <c r="I48" i="1"/>
  <c r="I40" i="1"/>
  <c r="I44" i="1"/>
  <c r="I43" i="1"/>
  <c r="I46" i="1"/>
  <c r="I38" i="1"/>
  <c r="I41" i="1"/>
  <c r="AF44" i="1"/>
  <c r="AF47" i="1"/>
  <c r="AF39" i="1"/>
  <c r="AF42" i="1"/>
  <c r="AF45" i="1"/>
  <c r="AF37" i="1"/>
  <c r="AF48" i="1"/>
  <c r="AF40" i="1"/>
  <c r="AF43" i="1"/>
  <c r="AF46" i="1"/>
  <c r="AF38" i="1"/>
  <c r="AF41" i="1"/>
  <c r="W41" i="1"/>
  <c r="W46" i="1"/>
  <c r="W44" i="1"/>
  <c r="W47" i="1"/>
  <c r="W39" i="1"/>
  <c r="W38" i="1"/>
  <c r="W42" i="1"/>
  <c r="W45" i="1"/>
  <c r="W37" i="1"/>
  <c r="W48" i="1"/>
  <c r="W40" i="1"/>
  <c r="W43" i="1"/>
  <c r="AA45" i="1"/>
  <c r="AA37" i="1"/>
  <c r="AA48" i="1"/>
  <c r="AA40" i="1"/>
  <c r="AA43" i="1"/>
  <c r="AA46" i="1"/>
  <c r="AA38" i="1"/>
  <c r="AA41" i="1"/>
  <c r="AA44" i="1"/>
  <c r="AA42" i="1"/>
  <c r="AA47" i="1"/>
  <c r="AA39" i="1"/>
  <c r="S45" i="1"/>
  <c r="S37" i="1"/>
  <c r="S48" i="1"/>
  <c r="S40" i="1"/>
  <c r="S43" i="1"/>
  <c r="S46" i="1"/>
  <c r="S38" i="1"/>
  <c r="S41" i="1"/>
  <c r="S42" i="1"/>
  <c r="S44" i="1"/>
  <c r="S47" i="1"/>
  <c r="S39" i="1"/>
  <c r="K45" i="1"/>
  <c r="K37" i="1"/>
  <c r="K48" i="1"/>
  <c r="K40" i="1"/>
  <c r="K43" i="1"/>
  <c r="K42" i="1"/>
  <c r="K46" i="1"/>
  <c r="K38" i="1"/>
  <c r="K41" i="1"/>
  <c r="K44" i="1"/>
  <c r="K47" i="1"/>
  <c r="K39" i="1"/>
  <c r="Q47" i="1"/>
  <c r="Q39" i="1"/>
  <c r="Q42" i="1"/>
  <c r="Q45" i="1"/>
  <c r="Q37" i="1"/>
  <c r="Q48" i="1"/>
  <c r="Q40" i="1"/>
  <c r="Q43" i="1"/>
  <c r="Q46" i="1"/>
  <c r="Q38" i="1"/>
  <c r="Q41" i="1"/>
  <c r="Q44" i="1"/>
  <c r="X44" i="1"/>
  <c r="X47" i="1"/>
  <c r="X39" i="1"/>
  <c r="X42" i="1"/>
  <c r="X45" i="1"/>
  <c r="X37" i="1"/>
  <c r="X41" i="1"/>
  <c r="X48" i="1"/>
  <c r="X40" i="1"/>
  <c r="X43" i="1"/>
  <c r="X46" i="1"/>
  <c r="X38" i="1"/>
  <c r="AE41" i="1"/>
  <c r="AE44" i="1"/>
  <c r="AE47" i="1"/>
  <c r="AE39" i="1"/>
  <c r="AE42" i="1"/>
  <c r="AE38" i="1"/>
  <c r="AE45" i="1"/>
  <c r="AE37" i="1"/>
  <c r="AE48" i="1"/>
  <c r="AE40" i="1"/>
  <c r="AE43" i="1"/>
  <c r="AE46" i="1"/>
  <c r="Z42" i="1"/>
  <c r="Z45" i="1"/>
  <c r="Z37" i="1"/>
  <c r="Z48" i="1"/>
  <c r="Z40" i="1"/>
  <c r="Z47" i="1"/>
  <c r="Z43" i="1"/>
  <c r="Z46" i="1"/>
  <c r="Z38" i="1"/>
  <c r="Z41" i="1"/>
  <c r="Z39" i="1"/>
  <c r="Z44" i="1"/>
  <c r="R42" i="1"/>
  <c r="R45" i="1"/>
  <c r="R37" i="1"/>
  <c r="R48" i="1"/>
  <c r="R40" i="1"/>
  <c r="R39" i="1"/>
  <c r="R43" i="1"/>
  <c r="R47" i="1"/>
  <c r="R46" i="1"/>
  <c r="R38" i="1"/>
  <c r="R41" i="1"/>
  <c r="R44" i="1"/>
  <c r="J42" i="1"/>
  <c r="J39" i="1"/>
  <c r="J45" i="1"/>
  <c r="J37" i="1"/>
  <c r="J48" i="1"/>
  <c r="J40" i="1"/>
  <c r="J43" i="1"/>
  <c r="J46" i="1"/>
  <c r="J38" i="1"/>
  <c r="J41" i="1"/>
  <c r="J44" i="1"/>
  <c r="J47" i="1"/>
  <c r="C19" i="7"/>
  <c r="D19" i="7" s="1"/>
  <c r="H5" i="7"/>
  <c r="H4" i="7"/>
  <c r="H6" i="7" s="1"/>
  <c r="D5" i="7"/>
  <c r="E19" i="7"/>
  <c r="AF26" i="1" l="1"/>
  <c r="N25" i="1"/>
  <c r="AC29" i="1"/>
  <c r="AD25" i="1"/>
  <c r="S26" i="1"/>
  <c r="K26" i="1"/>
  <c r="BD6" i="1"/>
  <c r="BF13" i="1" s="1"/>
  <c r="U29" i="1"/>
  <c r="BD9" i="1"/>
  <c r="BI13" i="1" s="1"/>
  <c r="Q25" i="1"/>
  <c r="K27" i="1"/>
  <c r="S28" i="1"/>
  <c r="BD4" i="1"/>
  <c r="BD13" i="1" s="1"/>
  <c r="N29" i="1"/>
  <c r="BD8" i="1"/>
  <c r="BH13" i="1" s="1"/>
  <c r="BD3" i="1"/>
  <c r="BC13" i="1" s="1"/>
  <c r="BD10" i="1"/>
  <c r="BJ13" i="1" s="1"/>
  <c r="AD29" i="1"/>
  <c r="BD5" i="1"/>
  <c r="BE13" i="1" s="1"/>
  <c r="S30" i="1"/>
  <c r="D27" i="1"/>
  <c r="AG27" i="1"/>
  <c r="M25" i="1"/>
  <c r="BD7" i="1"/>
  <c r="BG13" i="1" s="1"/>
  <c r="F29" i="1"/>
  <c r="U25" i="1"/>
  <c r="R30" i="1"/>
  <c r="Q28" i="1"/>
  <c r="L29" i="1"/>
  <c r="U26" i="1"/>
  <c r="G25" i="1"/>
  <c r="F27" i="1"/>
  <c r="N32" i="1"/>
  <c r="H25" i="1"/>
  <c r="U30" i="1"/>
  <c r="BA111" i="1"/>
  <c r="K30" i="1"/>
  <c r="J26" i="1"/>
  <c r="Z29" i="1"/>
  <c r="X30" i="1"/>
  <c r="K25" i="1"/>
  <c r="L27" i="1"/>
  <c r="E30" i="1"/>
  <c r="P30" i="1"/>
  <c r="K29" i="1"/>
  <c r="W26" i="1"/>
  <c r="I25" i="1"/>
  <c r="D30" i="1"/>
  <c r="U27" i="1"/>
  <c r="AC28" i="1"/>
  <c r="Y25" i="1"/>
  <c r="AA30" i="1"/>
  <c r="AF32" i="1"/>
  <c r="J27" i="1"/>
  <c r="R26" i="1"/>
  <c r="Z27" i="1"/>
  <c r="X28" i="1"/>
  <c r="AA25" i="1"/>
  <c r="AF30" i="1"/>
  <c r="D26" i="1"/>
  <c r="T30" i="1"/>
  <c r="H29" i="1"/>
  <c r="AG26" i="1"/>
  <c r="P28" i="1"/>
  <c r="N30" i="1"/>
  <c r="AD30" i="1"/>
  <c r="K32" i="1"/>
  <c r="S32" i="1"/>
  <c r="AA32" i="1"/>
  <c r="L32" i="1"/>
  <c r="G31" i="1"/>
  <c r="AE31" i="1"/>
  <c r="F31" i="1"/>
  <c r="O31" i="1"/>
  <c r="W31" i="1"/>
  <c r="H31" i="1"/>
  <c r="R32" i="1"/>
  <c r="Z32" i="1"/>
  <c r="AB32" i="1"/>
  <c r="AD31" i="1"/>
  <c r="AC25" i="1"/>
  <c r="AF28" i="1"/>
  <c r="W28" i="1"/>
  <c r="I27" i="1"/>
  <c r="E25" i="1"/>
  <c r="Y27" i="1"/>
  <c r="X31" i="1"/>
  <c r="Q27" i="1"/>
  <c r="R29" i="1"/>
  <c r="Z30" i="1"/>
  <c r="X25" i="1"/>
  <c r="Q26" i="1"/>
  <c r="S25" i="1"/>
  <c r="AF25" i="1"/>
  <c r="I26" i="1"/>
  <c r="L30" i="1"/>
  <c r="H28" i="1"/>
  <c r="H27" i="1"/>
  <c r="P29" i="1"/>
  <c r="Y26" i="1"/>
  <c r="F30" i="1"/>
  <c r="V26" i="1"/>
  <c r="K31" i="1"/>
  <c r="S31" i="1"/>
  <c r="AA31" i="1"/>
  <c r="L31" i="1"/>
  <c r="AB31" i="1"/>
  <c r="G32" i="1"/>
  <c r="AE32" i="1"/>
  <c r="O32" i="1"/>
  <c r="W32" i="1"/>
  <c r="H32" i="1"/>
  <c r="AF27" i="1"/>
  <c r="X29" i="1"/>
  <c r="W27" i="1"/>
  <c r="I28" i="1"/>
  <c r="D25" i="1"/>
  <c r="Y30" i="1"/>
  <c r="V30" i="1"/>
  <c r="D32" i="1"/>
  <c r="V25" i="1"/>
  <c r="W25" i="1"/>
  <c r="L25" i="1"/>
  <c r="T29" i="1"/>
  <c r="AG25" i="1"/>
  <c r="J25" i="1"/>
  <c r="AE25" i="1"/>
  <c r="S27" i="1"/>
  <c r="AA26" i="1"/>
  <c r="T28" i="1"/>
  <c r="O26" i="1"/>
  <c r="AG29" i="1"/>
  <c r="AC27" i="1"/>
  <c r="P27" i="1"/>
  <c r="J31" i="1"/>
  <c r="R31" i="1"/>
  <c r="E32" i="1"/>
  <c r="M32" i="1"/>
  <c r="U32" i="1"/>
  <c r="AC32" i="1"/>
  <c r="F32" i="1"/>
  <c r="V32" i="1"/>
  <c r="P31" i="1"/>
  <c r="AF31" i="1"/>
  <c r="I31" i="1"/>
  <c r="Q31" i="1"/>
  <c r="Y31" i="1"/>
  <c r="AG31" i="1"/>
  <c r="K28" i="1"/>
  <c r="S29" i="1"/>
  <c r="I30" i="1"/>
  <c r="AB30" i="1"/>
  <c r="M27" i="1"/>
  <c r="J30" i="1"/>
  <c r="W29" i="1"/>
  <c r="J29" i="1"/>
  <c r="R28" i="1"/>
  <c r="Z26" i="1"/>
  <c r="Z25" i="1"/>
  <c r="AE29" i="1"/>
  <c r="X26" i="1"/>
  <c r="D28" i="1"/>
  <c r="T26" i="1"/>
  <c r="T25" i="1"/>
  <c r="AB27" i="1"/>
  <c r="O28" i="1"/>
  <c r="O30" i="1"/>
  <c r="E26" i="1"/>
  <c r="M29" i="1"/>
  <c r="G29" i="1"/>
  <c r="P26" i="1"/>
  <c r="F28" i="1"/>
  <c r="N26" i="1"/>
  <c r="V27" i="1"/>
  <c r="AD26" i="1"/>
  <c r="Z31" i="1"/>
  <c r="AD32" i="1"/>
  <c r="F25" i="1"/>
  <c r="AA29" i="1"/>
  <c r="O27" i="1"/>
  <c r="AG30" i="1"/>
  <c r="V29" i="1"/>
  <c r="N31" i="1"/>
  <c r="AE26" i="1"/>
  <c r="Q29" i="1"/>
  <c r="AA27" i="1"/>
  <c r="W30" i="1"/>
  <c r="I29" i="1"/>
  <c r="T27" i="1"/>
  <c r="AB29" i="1"/>
  <c r="AB25" i="1"/>
  <c r="O25" i="1"/>
  <c r="H26" i="1"/>
  <c r="AG28" i="1"/>
  <c r="E27" i="1"/>
  <c r="M26" i="1"/>
  <c r="AC26" i="1"/>
  <c r="G28" i="1"/>
  <c r="G26" i="1"/>
  <c r="Y29" i="1"/>
  <c r="N28" i="1"/>
  <c r="V28" i="1"/>
  <c r="AD28" i="1"/>
  <c r="J32" i="1"/>
  <c r="T32" i="1"/>
  <c r="E31" i="1"/>
  <c r="M31" i="1"/>
  <c r="U31" i="1"/>
  <c r="AC31" i="1"/>
  <c r="V31" i="1"/>
  <c r="I32" i="1"/>
  <c r="Q32" i="1"/>
  <c r="Y32" i="1"/>
  <c r="AG32" i="1"/>
  <c r="D29" i="1"/>
  <c r="M28" i="1"/>
  <c r="J28" i="1"/>
  <c r="R27" i="1"/>
  <c r="R25" i="1"/>
  <c r="Z28" i="1"/>
  <c r="AE28" i="1"/>
  <c r="AE30" i="1"/>
  <c r="X27" i="1"/>
  <c r="L26" i="1"/>
  <c r="L28" i="1"/>
  <c r="AB28" i="1"/>
  <c r="O29" i="1"/>
  <c r="H30" i="1"/>
  <c r="E29" i="1"/>
  <c r="M30" i="1"/>
  <c r="AC30" i="1"/>
  <c r="G30" i="1"/>
  <c r="P25" i="1"/>
  <c r="F26" i="1"/>
  <c r="N27" i="1"/>
  <c r="AD27" i="1"/>
  <c r="D31" i="1"/>
  <c r="T31" i="1"/>
  <c r="P32" i="1"/>
  <c r="X32" i="1"/>
  <c r="AB26" i="1"/>
  <c r="AE27" i="1"/>
  <c r="Q30" i="1"/>
  <c r="AA28" i="1"/>
  <c r="AF29" i="1"/>
  <c r="E28" i="1"/>
  <c r="U28" i="1"/>
  <c r="G27" i="1"/>
  <c r="Y28" i="1"/>
  <c r="C20" i="7"/>
  <c r="D20" i="7" s="1"/>
  <c r="D6" i="7"/>
  <c r="D7" i="7" s="1"/>
  <c r="W2" i="1"/>
  <c r="B13" i="4"/>
  <c r="L5" i="4"/>
  <c r="L6" i="4" s="1"/>
  <c r="L7" i="4" s="1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s="1"/>
  <c r="L56" i="4" s="1"/>
  <c r="L57" i="4" s="1"/>
  <c r="L58" i="4" s="1"/>
  <c r="L59" i="4" s="1"/>
  <c r="L60" i="4" s="1"/>
  <c r="L61" i="4" s="1"/>
  <c r="L62" i="4" s="1"/>
  <c r="L63" i="4" s="1"/>
  <c r="L64" i="4" s="1"/>
  <c r="L65" i="4" s="1"/>
  <c r="L66" i="4" s="1"/>
  <c r="L67" i="4" s="1"/>
  <c r="L68" i="4" s="1"/>
  <c r="L69" i="4" s="1"/>
  <c r="L70" i="4" s="1"/>
  <c r="L71" i="4" s="1"/>
  <c r="L72" i="4" s="1"/>
  <c r="L73" i="4" s="1"/>
  <c r="L74" i="4" s="1"/>
  <c r="L75" i="4" s="1"/>
  <c r="L76" i="4" s="1"/>
  <c r="L77" i="4" s="1"/>
  <c r="L78" i="4" s="1"/>
  <c r="L79" i="4" s="1"/>
  <c r="L80" i="4" s="1"/>
  <c r="L81" i="4" s="1"/>
  <c r="L82" i="4" s="1"/>
  <c r="L83" i="4" s="1"/>
  <c r="L84" i="4" s="1"/>
  <c r="L85" i="4" s="1"/>
  <c r="L86" i="4" s="1"/>
  <c r="L87" i="4" s="1"/>
  <c r="L88" i="4" s="1"/>
  <c r="L89" i="4" s="1"/>
  <c r="L90" i="4" s="1"/>
  <c r="L91" i="4" s="1"/>
  <c r="L92" i="4" s="1"/>
  <c r="L93" i="4" s="1"/>
  <c r="L94" i="4" s="1"/>
  <c r="L95" i="4" s="1"/>
  <c r="L96" i="4" s="1"/>
  <c r="L97" i="4" s="1"/>
  <c r="L98" i="4" s="1"/>
  <c r="L99" i="4" s="1"/>
  <c r="L100" i="4" s="1"/>
  <c r="L101" i="4" s="1"/>
  <c r="L102" i="4" s="1"/>
  <c r="L103" i="4" s="1"/>
  <c r="L104" i="4" s="1"/>
  <c r="C1" i="4"/>
  <c r="I1" i="4" s="1"/>
  <c r="N4" i="1"/>
  <c r="N3" i="1"/>
  <c r="N2" i="1"/>
  <c r="I5" i="1"/>
  <c r="I4" i="1"/>
  <c r="I3" i="1"/>
  <c r="I2" i="1"/>
  <c r="D4" i="1"/>
  <c r="D3" i="1"/>
  <c r="D2" i="1"/>
  <c r="D6" i="1" s="1"/>
  <c r="E20" i="7"/>
  <c r="BB110" i="1" l="1"/>
  <c r="BB16" i="1"/>
  <c r="BB53" i="1"/>
  <c r="BA112" i="1"/>
  <c r="BB111" i="1"/>
  <c r="BB105" i="1"/>
  <c r="BB106" i="1"/>
  <c r="BB107" i="1"/>
  <c r="BB108" i="1"/>
  <c r="BB51" i="1"/>
  <c r="BB109" i="1"/>
  <c r="BB52" i="1"/>
  <c r="BB54" i="1"/>
  <c r="BB39" i="1"/>
  <c r="BB31" i="1"/>
  <c r="BB23" i="1"/>
  <c r="BB15" i="1"/>
  <c r="BB38" i="1"/>
  <c r="BB30" i="1"/>
  <c r="BB22" i="1"/>
  <c r="BB45" i="1"/>
  <c r="BB37" i="1"/>
  <c r="BB29" i="1"/>
  <c r="BB21" i="1"/>
  <c r="BB44" i="1"/>
  <c r="BB36" i="1"/>
  <c r="BB28" i="1"/>
  <c r="BB20" i="1"/>
  <c r="BB24" i="1"/>
  <c r="BB43" i="1"/>
  <c r="BB35" i="1"/>
  <c r="BB27" i="1"/>
  <c r="BB19" i="1"/>
  <c r="BB32" i="1"/>
  <c r="BB42" i="1"/>
  <c r="BB34" i="1"/>
  <c r="BB26" i="1"/>
  <c r="BB18" i="1"/>
  <c r="BB41" i="1"/>
  <c r="BB33" i="1"/>
  <c r="BB25" i="1"/>
  <c r="BB17" i="1"/>
  <c r="BB40" i="1"/>
  <c r="BB46" i="1"/>
  <c r="BB47" i="1"/>
  <c r="BB48" i="1"/>
  <c r="BB49" i="1"/>
  <c r="BB50" i="1"/>
  <c r="C21" i="7"/>
  <c r="D21" i="7" s="1"/>
  <c r="E21" i="7"/>
  <c r="BA113" i="1" l="1"/>
  <c r="BB112" i="1"/>
  <c r="BB55" i="1"/>
  <c r="BC11" i="1"/>
  <c r="Z11" i="1" s="1"/>
  <c r="C22" i="7"/>
  <c r="D22" i="7" s="1"/>
  <c r="S3" i="1"/>
  <c r="S2" i="1"/>
  <c r="E22" i="7"/>
  <c r="AU13" i="1" l="1"/>
  <c r="AU24" i="1" s="1"/>
  <c r="AV13" i="1"/>
  <c r="AV24" i="1" s="1"/>
  <c r="AT13" i="1"/>
  <c r="AT24" i="1" s="1"/>
  <c r="AP13" i="1"/>
  <c r="AP24" i="1" s="1"/>
  <c r="AY13" i="1"/>
  <c r="AY24" i="1" s="1"/>
  <c r="AW13" i="1"/>
  <c r="AW24" i="1" s="1"/>
  <c r="AS13" i="1"/>
  <c r="AS24" i="1" s="1"/>
  <c r="AQ13" i="1"/>
  <c r="AQ24" i="1" s="1"/>
  <c r="AX13" i="1"/>
  <c r="AX24" i="1" s="1"/>
  <c r="AR13" i="1"/>
  <c r="AR24" i="1" s="1"/>
  <c r="AN13" i="1"/>
  <c r="AN24" i="1" s="1"/>
  <c r="AB13" i="1"/>
  <c r="AB24" i="1" s="1"/>
  <c r="P13" i="1"/>
  <c r="E13" i="1"/>
  <c r="E24" i="1" s="1"/>
  <c r="U13" i="1"/>
  <c r="U24" i="1" s="1"/>
  <c r="D13" i="1"/>
  <c r="AM13" i="1"/>
  <c r="AM24" i="1" s="1"/>
  <c r="AA13" i="1"/>
  <c r="AA24" i="1" s="1"/>
  <c r="O13" i="1"/>
  <c r="O24" i="1" s="1"/>
  <c r="AG13" i="1"/>
  <c r="AG24" i="1" s="1"/>
  <c r="G13" i="1"/>
  <c r="G24" i="1" s="1"/>
  <c r="Q13" i="1"/>
  <c r="Q24" i="1" s="1"/>
  <c r="AL13" i="1"/>
  <c r="AL24" i="1" s="1"/>
  <c r="Z13" i="1"/>
  <c r="Z24" i="1" s="1"/>
  <c r="N13" i="1"/>
  <c r="I13" i="1"/>
  <c r="I24" i="1" s="1"/>
  <c r="H13" i="1"/>
  <c r="H24" i="1" s="1"/>
  <c r="F13" i="1"/>
  <c r="F24" i="1" s="1"/>
  <c r="AC13" i="1"/>
  <c r="AC24" i="1" s="1"/>
  <c r="AK13" i="1"/>
  <c r="AK24" i="1" s="1"/>
  <c r="Y13" i="1"/>
  <c r="Y24" i="1" s="1"/>
  <c r="M13" i="1"/>
  <c r="M24" i="1" s="1"/>
  <c r="V13" i="1"/>
  <c r="V24" i="1" s="1"/>
  <c r="AF13" i="1"/>
  <c r="AF24" i="1" s="1"/>
  <c r="AJ13" i="1"/>
  <c r="AJ24" i="1" s="1"/>
  <c r="X13" i="1"/>
  <c r="X24" i="1" s="1"/>
  <c r="L13" i="1"/>
  <c r="L24" i="1" s="1"/>
  <c r="J13" i="1"/>
  <c r="J24" i="1" s="1"/>
  <c r="AD13" i="1"/>
  <c r="AD24" i="1" s="1"/>
  <c r="AI13" i="1"/>
  <c r="AI24" i="1" s="1"/>
  <c r="W13" i="1"/>
  <c r="W24" i="1" s="1"/>
  <c r="K13" i="1"/>
  <c r="K24" i="1" s="1"/>
  <c r="AH13" i="1"/>
  <c r="AH24" i="1" s="1"/>
  <c r="T13" i="1"/>
  <c r="T24" i="1" s="1"/>
  <c r="S13" i="1"/>
  <c r="S24" i="1" s="1"/>
  <c r="R13" i="1"/>
  <c r="R24" i="1" s="1"/>
  <c r="AO13" i="1"/>
  <c r="AO24" i="1" s="1"/>
  <c r="AE13" i="1"/>
  <c r="AE24" i="1" s="1"/>
  <c r="AE5" i="1"/>
  <c r="AE4" i="1"/>
  <c r="AE3" i="1"/>
  <c r="BA114" i="1"/>
  <c r="BB113" i="1"/>
  <c r="BB56" i="1"/>
  <c r="C23" i="7"/>
  <c r="D23" i="7" s="1"/>
  <c r="N24" i="1"/>
  <c r="P24" i="1"/>
  <c r="E23" i="7"/>
  <c r="BN39" i="1"/>
  <c r="BA115" i="1" l="1"/>
  <c r="BB115" i="1" s="1"/>
  <c r="BB114" i="1"/>
  <c r="BB57" i="1"/>
  <c r="S4" i="1"/>
  <c r="D24" i="1"/>
  <c r="C24" i="7"/>
  <c r="D24" i="7" s="1"/>
  <c r="BN41" i="1"/>
  <c r="BE32" i="1"/>
  <c r="BJ114" i="1"/>
  <c r="BD34" i="1"/>
  <c r="BD48" i="1"/>
  <c r="BH44" i="1"/>
  <c r="BI37" i="1"/>
  <c r="BH105" i="1"/>
  <c r="BD37" i="1"/>
  <c r="BC24" i="1"/>
  <c r="BJ22" i="1"/>
  <c r="BH112" i="1"/>
  <c r="BJ28" i="1"/>
  <c r="BJ23" i="1"/>
  <c r="BI28" i="1"/>
  <c r="BF24" i="1"/>
  <c r="BF31" i="1"/>
  <c r="BC51" i="1"/>
  <c r="BH26" i="1"/>
  <c r="BC113" i="1"/>
  <c r="BE57" i="1"/>
  <c r="BD27" i="1"/>
  <c r="BD26" i="1"/>
  <c r="BI17" i="1"/>
  <c r="BG106" i="1"/>
  <c r="BE28" i="1"/>
  <c r="BG114" i="1"/>
  <c r="BF36" i="1"/>
  <c r="BI23" i="1"/>
  <c r="BI110" i="1"/>
  <c r="BJ16" i="1"/>
  <c r="BI19" i="1"/>
  <c r="BJ24" i="1"/>
  <c r="BF17" i="1"/>
  <c r="BD23" i="1"/>
  <c r="BD39" i="1"/>
  <c r="BD40" i="1"/>
  <c r="BD35" i="1"/>
  <c r="BH108" i="1"/>
  <c r="BF55" i="1"/>
  <c r="BD36" i="1"/>
  <c r="BJ115" i="1"/>
  <c r="BI26" i="1"/>
  <c r="BF49" i="1"/>
  <c r="BF21" i="1"/>
  <c r="BH35" i="1"/>
  <c r="BH53" i="1"/>
  <c r="BH106" i="1"/>
  <c r="BD42" i="1"/>
  <c r="BD114" i="1"/>
  <c r="BJ54" i="1"/>
  <c r="BG107" i="1"/>
  <c r="BH20" i="1"/>
  <c r="BI108" i="1"/>
  <c r="BD115" i="1"/>
  <c r="BE56" i="1"/>
  <c r="BD108" i="1"/>
  <c r="BH34" i="1"/>
  <c r="BG38" i="1"/>
  <c r="BG105" i="1"/>
  <c r="BH28" i="1"/>
  <c r="BG54" i="1"/>
  <c r="BD29" i="1"/>
  <c r="BC49" i="1"/>
  <c r="BD57" i="1"/>
  <c r="BC35" i="1"/>
  <c r="BG29" i="1"/>
  <c r="BE110" i="1"/>
  <c r="BH17" i="1"/>
  <c r="BC23" i="1"/>
  <c r="BH37" i="1"/>
  <c r="BF29" i="1"/>
  <c r="BD46" i="1"/>
  <c r="BF39" i="1"/>
  <c r="BE33" i="1"/>
  <c r="BD18" i="1"/>
  <c r="BF42" i="1"/>
  <c r="BC31" i="1"/>
  <c r="BE34" i="1"/>
  <c r="BE47" i="1"/>
  <c r="BH42" i="1"/>
  <c r="BJ41" i="1"/>
  <c r="BC16" i="1"/>
  <c r="BF51" i="1"/>
  <c r="BG28" i="1"/>
  <c r="BH22" i="1"/>
  <c r="BF28" i="1"/>
  <c r="BJ107" i="1"/>
  <c r="BI38" i="1"/>
  <c r="BH52" i="1"/>
  <c r="BJ53" i="1"/>
  <c r="BH45" i="1"/>
  <c r="BC52" i="1"/>
  <c r="BE53" i="1"/>
  <c r="BG31" i="1"/>
  <c r="BE38" i="1"/>
  <c r="BE42" i="1"/>
  <c r="BC33" i="1"/>
  <c r="BH43" i="1"/>
  <c r="BD22" i="1"/>
  <c r="BI107" i="1"/>
  <c r="BI57" i="1"/>
  <c r="BH111" i="1"/>
  <c r="BE25" i="1"/>
  <c r="BJ105" i="1"/>
  <c r="BG22" i="1"/>
  <c r="BE113" i="1"/>
  <c r="BH25" i="1"/>
  <c r="BI112" i="1"/>
  <c r="BD51" i="1"/>
  <c r="BJ25" i="1"/>
  <c r="BE39" i="1"/>
  <c r="BG35" i="1"/>
  <c r="BH47" i="1"/>
  <c r="BI111" i="1"/>
  <c r="BD54" i="1"/>
  <c r="BE24" i="1"/>
  <c r="BE51" i="1"/>
  <c r="BE108" i="1"/>
  <c r="BD15" i="1"/>
  <c r="BF113" i="1"/>
  <c r="BJ47" i="1"/>
  <c r="BH19" i="1"/>
  <c r="BF30" i="1"/>
  <c r="BF111" i="1"/>
  <c r="BF43" i="1"/>
  <c r="BG37" i="1"/>
  <c r="BG23" i="1"/>
  <c r="BD55" i="1"/>
  <c r="BC42" i="1"/>
  <c r="BE27" i="1"/>
  <c r="BE114" i="1"/>
  <c r="BJ21" i="1"/>
  <c r="BD52" i="1"/>
  <c r="BG16" i="1"/>
  <c r="BJ19" i="1"/>
  <c r="BH55" i="1"/>
  <c r="BG15" i="1"/>
  <c r="BE43" i="1"/>
  <c r="BC17" i="1"/>
  <c r="BC54" i="1"/>
  <c r="BI32" i="1"/>
  <c r="BI50" i="1"/>
  <c r="BC44" i="1"/>
  <c r="BF48" i="1"/>
  <c r="BC39" i="1"/>
  <c r="BI53" i="1"/>
  <c r="BF19" i="1"/>
  <c r="BJ30" i="1"/>
  <c r="BH32" i="1"/>
  <c r="BF35" i="1"/>
  <c r="BJ52" i="1"/>
  <c r="BC112" i="1"/>
  <c r="BG112" i="1"/>
  <c r="BF115" i="1"/>
  <c r="BD47" i="1"/>
  <c r="BI106" i="1"/>
  <c r="BG20" i="1"/>
  <c r="BF34" i="1"/>
  <c r="BG32" i="1"/>
  <c r="BF106" i="1"/>
  <c r="BJ110" i="1"/>
  <c r="BF54" i="1"/>
  <c r="BH114" i="1"/>
  <c r="BD105" i="1"/>
  <c r="BC110" i="1"/>
  <c r="BG21" i="1"/>
  <c r="BH41" i="1"/>
  <c r="BI41" i="1"/>
  <c r="BC57" i="1"/>
  <c r="BC29" i="1"/>
  <c r="BI31" i="1"/>
  <c r="BC32" i="1"/>
  <c r="BJ108" i="1"/>
  <c r="BF112" i="1"/>
  <c r="BG47" i="1"/>
  <c r="BJ48" i="1"/>
  <c r="BJ29" i="1"/>
  <c r="BJ45" i="1"/>
  <c r="BJ33" i="1"/>
  <c r="BI52" i="1"/>
  <c r="BJ106" i="1"/>
  <c r="BG17" i="1"/>
  <c r="BJ43" i="1"/>
  <c r="BG46" i="1"/>
  <c r="BF27" i="1"/>
  <c r="BF25" i="1"/>
  <c r="BE31" i="1"/>
  <c r="BI35" i="1"/>
  <c r="BH39" i="1"/>
  <c r="BI43" i="1"/>
  <c r="BE20" i="1"/>
  <c r="BI29" i="1"/>
  <c r="BG26" i="1"/>
  <c r="BG44" i="1"/>
  <c r="BJ112" i="1"/>
  <c r="BF110" i="1"/>
  <c r="BG33" i="1"/>
  <c r="BF22" i="1"/>
  <c r="BI109" i="1"/>
  <c r="BE109" i="1"/>
  <c r="BC25" i="1"/>
  <c r="BE30" i="1"/>
  <c r="BI22" i="1"/>
  <c r="BJ40" i="1"/>
  <c r="BE37" i="1"/>
  <c r="BH56" i="1"/>
  <c r="BJ42" i="1"/>
  <c r="BE29" i="1"/>
  <c r="BD111" i="1"/>
  <c r="BI27" i="1"/>
  <c r="BF41" i="1"/>
  <c r="BE19" i="1"/>
  <c r="BD112" i="1"/>
  <c r="BC115" i="1"/>
  <c r="BD113" i="1"/>
  <c r="BJ46" i="1"/>
  <c r="BG45" i="1"/>
  <c r="BC111" i="1"/>
  <c r="BC107" i="1"/>
  <c r="BI115" i="1"/>
  <c r="BI33" i="1"/>
  <c r="BF26" i="1"/>
  <c r="BC106" i="1"/>
  <c r="BE107" i="1"/>
  <c r="BE40" i="1"/>
  <c r="BF33" i="1"/>
  <c r="BG34" i="1"/>
  <c r="BH31" i="1"/>
  <c r="BF20" i="1"/>
  <c r="BE55" i="1"/>
  <c r="BJ15" i="1"/>
  <c r="BD38" i="1"/>
  <c r="BC43" i="1"/>
  <c r="BD17" i="1"/>
  <c r="BD16" i="1"/>
  <c r="BH23" i="1"/>
  <c r="BJ51" i="1"/>
  <c r="BJ44" i="1"/>
  <c r="BE26" i="1"/>
  <c r="BF18" i="1"/>
  <c r="BE111" i="1"/>
  <c r="BJ111" i="1"/>
  <c r="BG43" i="1"/>
  <c r="BE54" i="1"/>
  <c r="BH50" i="1"/>
  <c r="BG18" i="1"/>
  <c r="BJ20" i="1"/>
  <c r="BG57" i="1"/>
  <c r="BH49" i="1"/>
  <c r="BH21" i="1"/>
  <c r="BG41" i="1"/>
  <c r="BJ113" i="1"/>
  <c r="BH18" i="1"/>
  <c r="BE17" i="1"/>
  <c r="BI39" i="1"/>
  <c r="BH16" i="1"/>
  <c r="BI48" i="1"/>
  <c r="BD49" i="1"/>
  <c r="BE36" i="1"/>
  <c r="BC15" i="1"/>
  <c r="BG27" i="1"/>
  <c r="BE16" i="1"/>
  <c r="BD41" i="1"/>
  <c r="BC45" i="1"/>
  <c r="BD20" i="1"/>
  <c r="BD106" i="1"/>
  <c r="BI16" i="1"/>
  <c r="BF38" i="1"/>
  <c r="BH27" i="1"/>
  <c r="BG113" i="1"/>
  <c r="BF105" i="1"/>
  <c r="BJ27" i="1"/>
  <c r="BG52" i="1"/>
  <c r="BH107" i="1"/>
  <c r="BH15" i="1"/>
  <c r="BH48" i="1"/>
  <c r="BJ49" i="1"/>
  <c r="BJ56" i="1"/>
  <c r="BC53" i="1"/>
  <c r="BI46" i="1"/>
  <c r="BI20" i="1"/>
  <c r="BJ38" i="1"/>
  <c r="BD107" i="1"/>
  <c r="BG48" i="1"/>
  <c r="BF50" i="1"/>
  <c r="BJ35" i="1"/>
  <c r="BJ57" i="1"/>
  <c r="BD109" i="1"/>
  <c r="BF44" i="1"/>
  <c r="BC37" i="1"/>
  <c r="BD30" i="1"/>
  <c r="BC47" i="1"/>
  <c r="BI47" i="1"/>
  <c r="BC50" i="1"/>
  <c r="BF46" i="1"/>
  <c r="BH24" i="1"/>
  <c r="BD56" i="1"/>
  <c r="BF107" i="1"/>
  <c r="BE49" i="1"/>
  <c r="BD33" i="1"/>
  <c r="BF56" i="1"/>
  <c r="BC41" i="1"/>
  <c r="BG50" i="1"/>
  <c r="BI45" i="1"/>
  <c r="BG19" i="1"/>
  <c r="BD53" i="1"/>
  <c r="BI36" i="1"/>
  <c r="BJ17" i="1"/>
  <c r="BC46" i="1"/>
  <c r="BG51" i="1"/>
  <c r="BE50" i="1"/>
  <c r="BH36" i="1"/>
  <c r="BD28" i="1"/>
  <c r="BD45" i="1"/>
  <c r="BH38" i="1"/>
  <c r="BC56" i="1"/>
  <c r="BC40" i="1"/>
  <c r="BD25" i="1"/>
  <c r="BH29" i="1"/>
  <c r="BE45" i="1"/>
  <c r="BE106" i="1"/>
  <c r="BH109" i="1"/>
  <c r="BF47" i="1"/>
  <c r="BC18" i="1"/>
  <c r="BI113" i="1"/>
  <c r="BG53" i="1"/>
  <c r="BJ109" i="1"/>
  <c r="BH110" i="1"/>
  <c r="BF109" i="1"/>
  <c r="BI54" i="1"/>
  <c r="BI56" i="1"/>
  <c r="BI55" i="1"/>
  <c r="BG108" i="1"/>
  <c r="BE35" i="1"/>
  <c r="BJ34" i="1"/>
  <c r="BF16" i="1"/>
  <c r="BE112" i="1"/>
  <c r="BI51" i="1"/>
  <c r="BG36" i="1"/>
  <c r="BF32" i="1"/>
  <c r="BD32" i="1"/>
  <c r="BJ39" i="1"/>
  <c r="BG30" i="1"/>
  <c r="BH57" i="1"/>
  <c r="BG25" i="1"/>
  <c r="BJ37" i="1"/>
  <c r="BH51" i="1"/>
  <c r="BI40" i="1"/>
  <c r="BD31" i="1"/>
  <c r="BD24" i="1"/>
  <c r="BD44" i="1"/>
  <c r="BF37" i="1"/>
  <c r="BF114" i="1"/>
  <c r="BF52" i="1"/>
  <c r="BJ55" i="1"/>
  <c r="BC114" i="1"/>
  <c r="BH54" i="1"/>
  <c r="BC28" i="1"/>
  <c r="BF108" i="1"/>
  <c r="BE23" i="1"/>
  <c r="BE115" i="1"/>
  <c r="BH46" i="1"/>
  <c r="BG55" i="1"/>
  <c r="BH113" i="1"/>
  <c r="BC108" i="1"/>
  <c r="BE21" i="1"/>
  <c r="BF53" i="1"/>
  <c r="BI105" i="1"/>
  <c r="BI49" i="1"/>
  <c r="BE52" i="1"/>
  <c r="BJ18" i="1"/>
  <c r="BG49" i="1"/>
  <c r="BC19" i="1"/>
  <c r="BE41" i="1"/>
  <c r="BC26" i="1"/>
  <c r="BG39" i="1"/>
  <c r="BC38" i="1"/>
  <c r="BC55" i="1"/>
  <c r="BI18" i="1"/>
  <c r="BH30" i="1"/>
  <c r="BF45" i="1"/>
  <c r="BG110" i="1"/>
  <c r="BJ32" i="1"/>
  <c r="BG111" i="1"/>
  <c r="BF15" i="1"/>
  <c r="BC36" i="1"/>
  <c r="BG42" i="1"/>
  <c r="BE105" i="1"/>
  <c r="BI30" i="1"/>
  <c r="BF23" i="1"/>
  <c r="BC27" i="1"/>
  <c r="BC48" i="1"/>
  <c r="BE44" i="1"/>
  <c r="BG56" i="1"/>
  <c r="BE18" i="1"/>
  <c r="BD19" i="1"/>
  <c r="BJ36" i="1"/>
  <c r="BI15" i="1"/>
  <c r="BH115" i="1"/>
  <c r="BC105" i="1"/>
  <c r="BE46" i="1"/>
  <c r="BG109" i="1"/>
  <c r="BI21" i="1"/>
  <c r="BD43" i="1"/>
  <c r="BI44" i="1"/>
  <c r="BC34" i="1"/>
  <c r="BC109" i="1"/>
  <c r="BG40" i="1"/>
  <c r="BC30" i="1"/>
  <c r="BC22" i="1"/>
  <c r="BD21" i="1"/>
  <c r="BJ50" i="1"/>
  <c r="BD110" i="1"/>
  <c r="BE22" i="1"/>
  <c r="BC21" i="1"/>
  <c r="BC20" i="1"/>
  <c r="BH40" i="1"/>
  <c r="BI34" i="1"/>
  <c r="BI42" i="1"/>
  <c r="BF40" i="1"/>
  <c r="BH33" i="1"/>
  <c r="BG115" i="1"/>
  <c r="BJ31" i="1"/>
  <c r="BD50" i="1"/>
  <c r="BI114" i="1"/>
  <c r="BF57" i="1"/>
  <c r="BE48" i="1"/>
  <c r="BE15" i="1"/>
  <c r="BI25" i="1"/>
  <c r="BB58" i="1" l="1"/>
  <c r="C25" i="7"/>
  <c r="D25" i="7" s="1"/>
  <c r="BJ26" i="1"/>
  <c r="BI24" i="1"/>
  <c r="BC58" i="1"/>
  <c r="BH58" i="1"/>
  <c r="BJ58" i="1"/>
  <c r="BF58" i="1"/>
  <c r="BI58" i="1"/>
  <c r="BE58" i="1"/>
  <c r="BG24" i="1"/>
  <c r="BD58" i="1"/>
  <c r="BG58" i="1"/>
  <c r="BB59" i="1" l="1"/>
  <c r="C26" i="7"/>
  <c r="D26" i="7" s="1"/>
  <c r="E24" i="7"/>
  <c r="E26" i="7"/>
  <c r="E25" i="7"/>
  <c r="BD59" i="1"/>
  <c r="BF59" i="1"/>
  <c r="BC59" i="1"/>
  <c r="BH59" i="1"/>
  <c r="BJ59" i="1"/>
  <c r="BI59" i="1"/>
  <c r="BG59" i="1"/>
  <c r="BE59" i="1"/>
  <c r="BB60" i="1" l="1"/>
  <c r="C27" i="7"/>
  <c r="D27" i="7" s="1"/>
  <c r="H4" i="4"/>
  <c r="D4" i="4"/>
  <c r="E27" i="7"/>
  <c r="BH60" i="1"/>
  <c r="BG60" i="1"/>
  <c r="BC60" i="1"/>
  <c r="BD60" i="1"/>
  <c r="BE60" i="1"/>
  <c r="BJ60" i="1"/>
  <c r="BF60" i="1"/>
  <c r="BI60" i="1"/>
  <c r="BB61" i="1" l="1"/>
  <c r="C28" i="7"/>
  <c r="D28" i="7" s="1"/>
  <c r="H5" i="4"/>
  <c r="B4" i="4"/>
  <c r="I5" i="4"/>
  <c r="I4" i="4"/>
  <c r="F5" i="4"/>
  <c r="F4" i="4"/>
  <c r="E5" i="4"/>
  <c r="E4" i="4"/>
  <c r="G5" i="4"/>
  <c r="G4" i="4"/>
  <c r="C5" i="4"/>
  <c r="C4" i="4"/>
  <c r="E28" i="7"/>
  <c r="BC61" i="1"/>
  <c r="BD61" i="1"/>
  <c r="BH61" i="1"/>
  <c r="BF61" i="1"/>
  <c r="BI61" i="1"/>
  <c r="BG61" i="1"/>
  <c r="BE61" i="1"/>
  <c r="BJ61" i="1"/>
  <c r="BB62" i="1" l="1"/>
  <c r="C29" i="7"/>
  <c r="D29" i="7" s="1"/>
  <c r="B5" i="4"/>
  <c r="D5" i="4"/>
  <c r="BC62" i="1"/>
  <c r="BD62" i="1"/>
  <c r="BH62" i="1"/>
  <c r="BF62" i="1"/>
  <c r="BI62" i="1"/>
  <c r="BJ62" i="1"/>
  <c r="BG62" i="1"/>
  <c r="BE62" i="1"/>
  <c r="BB63" i="1" l="1"/>
  <c r="C30" i="7"/>
  <c r="D30" i="7" s="1"/>
  <c r="BC63" i="1"/>
  <c r="BH63" i="1"/>
  <c r="BJ63" i="1"/>
  <c r="BF63" i="1"/>
  <c r="BG63" i="1"/>
  <c r="BE63" i="1"/>
  <c r="BD63" i="1"/>
  <c r="BI63" i="1"/>
  <c r="BB64" i="1" l="1"/>
  <c r="C31" i="7"/>
  <c r="D31" i="7" s="1"/>
  <c r="BB65" i="1" l="1"/>
  <c r="C32" i="7"/>
  <c r="D32" i="7" s="1"/>
  <c r="BB66" i="1" l="1"/>
  <c r="C33" i="7"/>
  <c r="D33" i="7" s="1"/>
  <c r="E30" i="7"/>
  <c r="E31" i="7"/>
  <c r="E32" i="7"/>
  <c r="E29" i="7"/>
  <c r="E33" i="7"/>
  <c r="O54" i="4"/>
  <c r="T92" i="4"/>
  <c r="P76" i="4"/>
  <c r="S32" i="4"/>
  <c r="S65" i="4"/>
  <c r="T11" i="4"/>
  <c r="T94" i="4"/>
  <c r="Q51" i="4"/>
  <c r="N101" i="4"/>
  <c r="S87" i="4"/>
  <c r="S12" i="4"/>
  <c r="T16" i="4"/>
  <c r="S48" i="4"/>
  <c r="R42" i="4"/>
  <c r="R4" i="4"/>
  <c r="P75" i="4"/>
  <c r="N16" i="4"/>
  <c r="R57" i="4"/>
  <c r="T88" i="4"/>
  <c r="T78" i="4"/>
  <c r="P51" i="4"/>
  <c r="O83" i="4"/>
  <c r="M72" i="4"/>
  <c r="T28" i="4"/>
  <c r="O64" i="4"/>
  <c r="T90" i="4"/>
  <c r="Q33" i="4"/>
  <c r="R34" i="4"/>
  <c r="O29" i="4"/>
  <c r="M79" i="4"/>
  <c r="R56" i="4"/>
  <c r="R78" i="4"/>
  <c r="O96" i="4"/>
  <c r="N35" i="4"/>
  <c r="T91" i="4"/>
  <c r="M16" i="4"/>
  <c r="M66" i="4"/>
  <c r="P64" i="4"/>
  <c r="M51" i="4"/>
  <c r="P21" i="4"/>
  <c r="R102" i="4"/>
  <c r="P57" i="4"/>
  <c r="O8" i="4"/>
  <c r="N92" i="4"/>
  <c r="Q45" i="4"/>
  <c r="M100" i="4"/>
  <c r="R99" i="4"/>
  <c r="T68" i="4"/>
  <c r="R29" i="4"/>
  <c r="Q85" i="4"/>
  <c r="Q91" i="4"/>
  <c r="T99" i="4"/>
  <c r="S83" i="4"/>
  <c r="P100" i="4"/>
  <c r="R97" i="4"/>
  <c r="Q102" i="4"/>
  <c r="O98" i="4"/>
  <c r="O7" i="4"/>
  <c r="P12" i="4"/>
  <c r="Q99" i="4"/>
  <c r="N47" i="4"/>
  <c r="N7" i="4"/>
  <c r="M34" i="4"/>
  <c r="Q55" i="4"/>
  <c r="M56" i="4"/>
  <c r="R60" i="4"/>
  <c r="R35" i="4"/>
  <c r="S89" i="4"/>
  <c r="M95" i="4"/>
  <c r="Q42" i="4"/>
  <c r="R93" i="4"/>
  <c r="T85" i="4"/>
  <c r="T57" i="4"/>
  <c r="P89" i="4"/>
  <c r="P103" i="4"/>
  <c r="N19" i="4"/>
  <c r="M104" i="4"/>
  <c r="Q6" i="4"/>
  <c r="P96" i="4"/>
  <c r="R79" i="4"/>
  <c r="Q67" i="4"/>
  <c r="P69" i="4"/>
  <c r="T84" i="4"/>
  <c r="Q61" i="4"/>
  <c r="N49" i="4"/>
  <c r="BH64" i="1"/>
  <c r="Q98" i="4"/>
  <c r="N36" i="4"/>
  <c r="T49" i="4"/>
  <c r="R77" i="4"/>
  <c r="R89" i="4"/>
  <c r="N72" i="4"/>
  <c r="N95" i="4"/>
  <c r="O62" i="4"/>
  <c r="P29" i="4"/>
  <c r="S102" i="4"/>
  <c r="M15" i="4"/>
  <c r="M99" i="4"/>
  <c r="N15" i="4"/>
  <c r="R104" i="4"/>
  <c r="R70" i="4"/>
  <c r="O63" i="4"/>
  <c r="Q29" i="4"/>
  <c r="S96" i="4"/>
  <c r="R90" i="4"/>
  <c r="M54" i="4"/>
  <c r="O58" i="4"/>
  <c r="R27" i="4"/>
  <c r="M69" i="4"/>
  <c r="S82" i="4"/>
  <c r="R39" i="4"/>
  <c r="M87" i="4"/>
  <c r="O90" i="4"/>
  <c r="S45" i="4"/>
  <c r="O74" i="4"/>
  <c r="O59" i="4"/>
  <c r="O92" i="4"/>
  <c r="M91" i="4"/>
  <c r="S103" i="4"/>
  <c r="R74" i="4"/>
  <c r="P50" i="4"/>
  <c r="R98" i="4"/>
  <c r="O48" i="4"/>
  <c r="P44" i="4"/>
  <c r="N68" i="4"/>
  <c r="N81" i="4"/>
  <c r="S33" i="4"/>
  <c r="O28" i="4"/>
  <c r="M19" i="4"/>
  <c r="P49" i="4"/>
  <c r="S27" i="4"/>
  <c r="O94" i="4"/>
  <c r="T33" i="4"/>
  <c r="O85" i="4"/>
  <c r="S56" i="4"/>
  <c r="T80" i="4"/>
  <c r="P74" i="4"/>
  <c r="P26" i="4"/>
  <c r="Q58" i="4"/>
  <c r="M17" i="4"/>
  <c r="Q78" i="4"/>
  <c r="P38" i="4"/>
  <c r="N53" i="4"/>
  <c r="O6" i="4"/>
  <c r="T101" i="4"/>
  <c r="S42" i="4"/>
  <c r="O101" i="4"/>
  <c r="S64" i="4"/>
  <c r="T93" i="4"/>
  <c r="P42" i="4"/>
  <c r="M21" i="4"/>
  <c r="S71" i="4"/>
  <c r="Q30" i="4"/>
  <c r="P58" i="4"/>
  <c r="S57" i="4"/>
  <c r="T27" i="4"/>
  <c r="R28" i="4"/>
  <c r="R31" i="4"/>
  <c r="T13" i="4"/>
  <c r="T58" i="4"/>
  <c r="O50" i="4"/>
  <c r="O51" i="4"/>
  <c r="P68" i="4"/>
  <c r="S77" i="4"/>
  <c r="T18" i="4"/>
  <c r="O35" i="4"/>
  <c r="N4" i="4"/>
  <c r="Q72" i="4"/>
  <c r="N79" i="4"/>
  <c r="Q28" i="4"/>
  <c r="N6" i="4"/>
  <c r="R23" i="4"/>
  <c r="N38" i="4"/>
  <c r="N39" i="4"/>
  <c r="M49" i="4"/>
  <c r="T8" i="4"/>
  <c r="R100" i="4"/>
  <c r="R40" i="4"/>
  <c r="Q88" i="4"/>
  <c r="N74" i="4"/>
  <c r="P85" i="4"/>
  <c r="S59" i="4"/>
  <c r="S44" i="4"/>
  <c r="BE66" i="1"/>
  <c r="O27" i="4"/>
  <c r="P63" i="4"/>
  <c r="S47" i="4"/>
  <c r="T69" i="4"/>
  <c r="Q19" i="4"/>
  <c r="O65" i="4"/>
  <c r="N91" i="4"/>
  <c r="M32" i="4"/>
  <c r="N50" i="4"/>
  <c r="S99" i="4"/>
  <c r="O30" i="4"/>
  <c r="N58" i="4"/>
  <c r="P4" i="4"/>
  <c r="T6" i="4"/>
  <c r="S60" i="4"/>
  <c r="P14" i="4"/>
  <c r="Q4" i="4"/>
  <c r="M40" i="4"/>
  <c r="S75" i="4"/>
  <c r="BE64" i="1"/>
  <c r="N67" i="4"/>
  <c r="O104" i="4"/>
  <c r="P88" i="4"/>
  <c r="M28" i="4"/>
  <c r="M64" i="4"/>
  <c r="O15" i="4"/>
  <c r="T21" i="4"/>
  <c r="P30" i="4"/>
  <c r="R47" i="4"/>
  <c r="R84" i="4"/>
  <c r="R81" i="4"/>
  <c r="Q27" i="4"/>
  <c r="S76" i="4"/>
  <c r="Q32" i="4"/>
  <c r="O10" i="4"/>
  <c r="M52" i="4"/>
  <c r="P5" i="4"/>
  <c r="Q63" i="4"/>
  <c r="R15" i="4"/>
  <c r="N23" i="4"/>
  <c r="Q71" i="4"/>
  <c r="N76" i="4"/>
  <c r="S68" i="4"/>
  <c r="R12" i="4"/>
  <c r="N29" i="4"/>
  <c r="R92" i="4"/>
  <c r="T59" i="4"/>
  <c r="N10" i="4"/>
  <c r="P59" i="4"/>
  <c r="O12" i="4"/>
  <c r="S86" i="4"/>
  <c r="S40" i="4"/>
  <c r="R101" i="4"/>
  <c r="S50" i="4"/>
  <c r="R82" i="4"/>
  <c r="Q8" i="4"/>
  <c r="M59" i="4"/>
  <c r="Q81" i="4"/>
  <c r="N52" i="4"/>
  <c r="R44" i="4"/>
  <c r="S100" i="4"/>
  <c r="N65" i="4"/>
  <c r="M90" i="4"/>
  <c r="S81" i="4"/>
  <c r="M26" i="4"/>
  <c r="M60" i="4"/>
  <c r="Q69" i="4"/>
  <c r="P31" i="4"/>
  <c r="N46" i="4"/>
  <c r="P6" i="4"/>
  <c r="Q5" i="4"/>
  <c r="M74" i="4"/>
  <c r="Q66" i="4"/>
  <c r="S74" i="4"/>
  <c r="BG65" i="1"/>
  <c r="R22" i="4"/>
  <c r="P53" i="4"/>
  <c r="Q60" i="4"/>
  <c r="T100" i="4"/>
  <c r="T45" i="4"/>
  <c r="T14" i="4"/>
  <c r="M63" i="4"/>
  <c r="T48" i="4"/>
  <c r="S91" i="4"/>
  <c r="O102" i="4"/>
  <c r="R66" i="4"/>
  <c r="R45" i="4"/>
  <c r="S23" i="4"/>
  <c r="Q56" i="4"/>
  <c r="P101" i="4"/>
  <c r="T60" i="4"/>
  <c r="O72" i="4"/>
  <c r="Q73" i="4"/>
  <c r="T22" i="4"/>
  <c r="S104" i="4"/>
  <c r="M58" i="4"/>
  <c r="P91" i="4"/>
  <c r="Q92" i="4"/>
  <c r="R87" i="4"/>
  <c r="S80" i="4"/>
  <c r="BJ65" i="1"/>
  <c r="N34" i="4"/>
  <c r="S85" i="4"/>
  <c r="P66" i="4"/>
  <c r="S46" i="4"/>
  <c r="N20" i="4"/>
  <c r="N55" i="4"/>
  <c r="N63" i="4"/>
  <c r="Q24" i="4"/>
  <c r="Q15" i="4"/>
  <c r="S66" i="4"/>
  <c r="BH65" i="1"/>
  <c r="BC66" i="1"/>
  <c r="M30" i="4"/>
  <c r="R19" i="4"/>
  <c r="R6" i="4"/>
  <c r="S58" i="4"/>
  <c r="O80" i="4"/>
  <c r="R88" i="4"/>
  <c r="S52" i="4"/>
  <c r="O31" i="4"/>
  <c r="R11" i="4"/>
  <c r="Q26" i="4"/>
  <c r="M65" i="4"/>
  <c r="P15" i="4"/>
  <c r="N103" i="4"/>
  <c r="R7" i="4"/>
  <c r="O5" i="4"/>
  <c r="Q54" i="4"/>
  <c r="Q64" i="4"/>
  <c r="R30" i="4"/>
  <c r="S98" i="4"/>
  <c r="P94" i="4"/>
  <c r="R16" i="4"/>
  <c r="T56" i="4"/>
  <c r="T26" i="4"/>
  <c r="O57" i="4"/>
  <c r="T72" i="4"/>
  <c r="M77" i="4"/>
  <c r="BJ64" i="1"/>
  <c r="P102" i="4"/>
  <c r="O76" i="4"/>
  <c r="O25" i="4"/>
  <c r="R48" i="4"/>
  <c r="N21" i="4"/>
  <c r="T30" i="4"/>
  <c r="O99" i="4"/>
  <c r="P16" i="4"/>
  <c r="Q23" i="4"/>
  <c r="Q38" i="4"/>
  <c r="BC65" i="1"/>
  <c r="Q87" i="4"/>
  <c r="R41" i="4"/>
  <c r="BF66" i="1"/>
  <c r="S67" i="4"/>
  <c r="Q31" i="4"/>
  <c r="R50" i="4"/>
  <c r="P11" i="4"/>
  <c r="M22" i="4"/>
  <c r="T86" i="4"/>
  <c r="O41" i="4"/>
  <c r="Q41" i="4"/>
  <c r="S6" i="4"/>
  <c r="R26" i="4"/>
  <c r="O18" i="4"/>
  <c r="P23" i="4"/>
  <c r="O55" i="4"/>
  <c r="P98" i="4"/>
  <c r="N78" i="4"/>
  <c r="O103" i="4"/>
  <c r="N32" i="4"/>
  <c r="Q104" i="4"/>
  <c r="O47" i="4"/>
  <c r="Q53" i="4"/>
  <c r="N97" i="4"/>
  <c r="N83" i="4"/>
  <c r="R85" i="4"/>
  <c r="Q50" i="4"/>
  <c r="N5" i="4"/>
  <c r="N90" i="4"/>
  <c r="O45" i="4"/>
  <c r="T24" i="4"/>
  <c r="S30" i="4"/>
  <c r="O70" i="4"/>
  <c r="T54" i="4"/>
  <c r="T77" i="4"/>
  <c r="Q7" i="4"/>
  <c r="Q65" i="4"/>
  <c r="M43" i="4"/>
  <c r="Q103" i="4"/>
  <c r="Q79" i="4"/>
  <c r="R96" i="4"/>
  <c r="M81" i="4"/>
  <c r="P7" i="4"/>
  <c r="T81" i="4"/>
  <c r="R65" i="4"/>
  <c r="R53" i="4"/>
  <c r="M36" i="4"/>
  <c r="T10" i="4"/>
  <c r="M39" i="4"/>
  <c r="M23" i="4"/>
  <c r="S24" i="4"/>
  <c r="BD64" i="1"/>
  <c r="N28" i="4"/>
  <c r="M92" i="4"/>
  <c r="Q76" i="4"/>
  <c r="T42" i="4"/>
  <c r="R51" i="4"/>
  <c r="M13" i="4"/>
  <c r="N96" i="4"/>
  <c r="Q59" i="4"/>
  <c r="Q74" i="4"/>
  <c r="P92" i="4"/>
  <c r="P56" i="4"/>
  <c r="O52" i="4"/>
  <c r="M78" i="4"/>
  <c r="O60" i="4"/>
  <c r="P90" i="4"/>
  <c r="Q34" i="4"/>
  <c r="P25" i="4"/>
  <c r="P79" i="4"/>
  <c r="P19" i="4"/>
  <c r="O91" i="4"/>
  <c r="Q18" i="4"/>
  <c r="O43" i="4"/>
  <c r="S101" i="4"/>
  <c r="S15" i="4"/>
  <c r="P36" i="4"/>
  <c r="S20" i="4"/>
  <c r="P93" i="4"/>
  <c r="S84" i="4"/>
  <c r="P80" i="4"/>
  <c r="N8" i="4"/>
  <c r="N71" i="4"/>
  <c r="S51" i="4"/>
  <c r="T38" i="4"/>
  <c r="M48" i="4"/>
  <c r="O49" i="4"/>
  <c r="S93" i="4"/>
  <c r="BH66" i="1"/>
  <c r="T35" i="4"/>
  <c r="Q82" i="4"/>
  <c r="O21" i="4"/>
  <c r="Q37" i="4"/>
  <c r="R20" i="4"/>
  <c r="P33" i="4"/>
  <c r="P65" i="4"/>
  <c r="O32" i="4"/>
  <c r="N14" i="4"/>
  <c r="O46" i="4"/>
  <c r="S11" i="4"/>
  <c r="M41" i="4"/>
  <c r="Q89" i="4"/>
  <c r="P61" i="4"/>
  <c r="Q35" i="4"/>
  <c r="S22" i="4"/>
  <c r="R86" i="4"/>
  <c r="P70" i="4"/>
  <c r="BF65" i="1"/>
  <c r="M84" i="4"/>
  <c r="N66" i="4"/>
  <c r="O34" i="4"/>
  <c r="O95" i="4"/>
  <c r="T66" i="4"/>
  <c r="P60" i="4"/>
  <c r="S19" i="4"/>
  <c r="S39" i="4"/>
  <c r="M89" i="4"/>
  <c r="P81" i="4"/>
  <c r="T52" i="4"/>
  <c r="M82" i="4"/>
  <c r="P67" i="4"/>
  <c r="N75" i="4"/>
  <c r="Q101" i="4"/>
  <c r="O19" i="4"/>
  <c r="N86" i="4"/>
  <c r="M12" i="4"/>
  <c r="P78" i="4"/>
  <c r="P86" i="4"/>
  <c r="S29" i="4"/>
  <c r="M75" i="4"/>
  <c r="T37" i="4"/>
  <c r="O82" i="4"/>
  <c r="S10" i="4"/>
  <c r="O93" i="4"/>
  <c r="O26" i="4"/>
  <c r="T39" i="4"/>
  <c r="Q49" i="4"/>
  <c r="M98" i="4"/>
  <c r="P32" i="4"/>
  <c r="M11" i="4"/>
  <c r="S43" i="4"/>
  <c r="N17" i="4"/>
  <c r="O33" i="4"/>
  <c r="M45" i="4"/>
  <c r="M44" i="4"/>
  <c r="Q14" i="4"/>
  <c r="R61" i="4"/>
  <c r="T73" i="4"/>
  <c r="M50" i="4"/>
  <c r="S21" i="4"/>
  <c r="M103" i="4"/>
  <c r="S97" i="4"/>
  <c r="R59" i="4"/>
  <c r="S53" i="4"/>
  <c r="Q100" i="4"/>
  <c r="R8" i="4"/>
  <c r="P48" i="4"/>
  <c r="T75" i="4"/>
  <c r="M67" i="4"/>
  <c r="Q57" i="4"/>
  <c r="S61" i="4"/>
  <c r="T40" i="4"/>
  <c r="N26" i="4"/>
  <c r="N54" i="4"/>
  <c r="R103" i="4"/>
  <c r="O17" i="4"/>
  <c r="R33" i="4"/>
  <c r="BJ66" i="1"/>
  <c r="T5" i="4"/>
  <c r="BI66" i="1"/>
  <c r="P62" i="4"/>
  <c r="T70" i="4"/>
  <c r="M27" i="4"/>
  <c r="P43" i="4"/>
  <c r="P77" i="4"/>
  <c r="T74" i="4"/>
  <c r="M57" i="4"/>
  <c r="Q40" i="4"/>
  <c r="P28" i="4"/>
  <c r="M88" i="4"/>
  <c r="M53" i="4"/>
  <c r="O86" i="4"/>
  <c r="R49" i="4"/>
  <c r="R14" i="4"/>
  <c r="T95" i="4"/>
  <c r="S25" i="4"/>
  <c r="S49" i="4"/>
  <c r="P55" i="4"/>
  <c r="N13" i="4"/>
  <c r="S38" i="4"/>
  <c r="M18" i="4"/>
  <c r="P95" i="4"/>
  <c r="O22" i="4"/>
  <c r="Q86" i="4"/>
  <c r="P54" i="4"/>
  <c r="N100" i="4"/>
  <c r="M29" i="4"/>
  <c r="S16" i="4"/>
  <c r="R36" i="4"/>
  <c r="M8" i="4"/>
  <c r="N70" i="4"/>
  <c r="R75" i="4"/>
  <c r="P71" i="4"/>
  <c r="S90" i="4"/>
  <c r="M25" i="4"/>
  <c r="T46" i="4"/>
  <c r="P9" i="4"/>
  <c r="Q46" i="4"/>
  <c r="O87" i="4"/>
  <c r="N87" i="4"/>
  <c r="Q84" i="4"/>
  <c r="T65" i="4"/>
  <c r="N85" i="4"/>
  <c r="S94" i="4"/>
  <c r="T82" i="4"/>
  <c r="N48" i="4"/>
  <c r="N51" i="4"/>
  <c r="S70" i="4"/>
  <c r="N45" i="4"/>
  <c r="M9" i="4"/>
  <c r="BC64" i="1"/>
  <c r="M93" i="4"/>
  <c r="R54" i="4"/>
  <c r="M37" i="4"/>
  <c r="S63" i="4"/>
  <c r="R83" i="4"/>
  <c r="T4" i="4"/>
  <c r="N82" i="4"/>
  <c r="O68" i="4"/>
  <c r="P83" i="4"/>
  <c r="N69" i="4"/>
  <c r="Q77" i="4"/>
  <c r="Q11" i="4"/>
  <c r="M61" i="4"/>
  <c r="N64" i="4"/>
  <c r="N40" i="4"/>
  <c r="P17" i="4"/>
  <c r="N94" i="4"/>
  <c r="S34" i="4"/>
  <c r="N102" i="4"/>
  <c r="BI65" i="1"/>
  <c r="P8" i="4"/>
  <c r="O75" i="4"/>
  <c r="M102" i="4"/>
  <c r="N80" i="4"/>
  <c r="T67" i="4"/>
  <c r="M70" i="4"/>
  <c r="P39" i="4"/>
  <c r="M5" i="4"/>
  <c r="T71" i="4"/>
  <c r="M76" i="4"/>
  <c r="Q10" i="4"/>
  <c r="O23" i="4"/>
  <c r="S9" i="4"/>
  <c r="T25" i="4"/>
  <c r="P34" i="4"/>
  <c r="M24" i="4"/>
  <c r="Q20" i="4"/>
  <c r="O11" i="4"/>
  <c r="T43" i="4"/>
  <c r="N11" i="4"/>
  <c r="Q22" i="4"/>
  <c r="T17" i="4"/>
  <c r="P45" i="4"/>
  <c r="M38" i="4"/>
  <c r="O73" i="4"/>
  <c r="T23" i="4"/>
  <c r="N27" i="4"/>
  <c r="P82" i="4"/>
  <c r="S55" i="4"/>
  <c r="Q83" i="4"/>
  <c r="M33" i="4"/>
  <c r="O66" i="4"/>
  <c r="T87" i="4"/>
  <c r="S5" i="4"/>
  <c r="P46" i="4"/>
  <c r="Q95" i="4"/>
  <c r="R80" i="4"/>
  <c r="O61" i="4"/>
  <c r="Q13" i="4"/>
  <c r="T29" i="4"/>
  <c r="Q9" i="4"/>
  <c r="M97" i="4"/>
  <c r="O16" i="4"/>
  <c r="T36" i="4"/>
  <c r="Q36" i="4"/>
  <c r="R43" i="4"/>
  <c r="M55" i="4"/>
  <c r="R17" i="4"/>
  <c r="T15" i="4"/>
  <c r="P27" i="4"/>
  <c r="P40" i="4"/>
  <c r="T12" i="4"/>
  <c r="R67" i="4"/>
  <c r="R25" i="4"/>
  <c r="O38" i="4"/>
  <c r="R10" i="4"/>
  <c r="M42" i="4"/>
  <c r="T89" i="4"/>
  <c r="O4" i="4"/>
  <c r="N33" i="4"/>
  <c r="T19" i="4"/>
  <c r="M4" i="4"/>
  <c r="S31" i="4"/>
  <c r="T51" i="4"/>
  <c r="Q48" i="4"/>
  <c r="N31" i="4"/>
  <c r="R91" i="4"/>
  <c r="P84" i="4"/>
  <c r="S62" i="4"/>
  <c r="O13" i="4"/>
  <c r="N56" i="4"/>
  <c r="N73" i="4"/>
  <c r="P22" i="4"/>
  <c r="Q25" i="4"/>
  <c r="N88" i="4"/>
  <c r="S41" i="4"/>
  <c r="T102" i="4"/>
  <c r="R37" i="4"/>
  <c r="R73" i="4"/>
  <c r="O56" i="4"/>
  <c r="T41" i="4"/>
  <c r="M35" i="4"/>
  <c r="N59" i="4"/>
  <c r="S17" i="4"/>
  <c r="R9" i="4"/>
  <c r="R32" i="4"/>
  <c r="N99" i="4"/>
  <c r="O97" i="4"/>
  <c r="T50" i="4"/>
  <c r="R64" i="4"/>
  <c r="P41" i="4"/>
  <c r="N18" i="4"/>
  <c r="N43" i="4"/>
  <c r="Q17" i="4"/>
  <c r="R95" i="4"/>
  <c r="P87" i="4"/>
  <c r="M73" i="4"/>
  <c r="T79" i="4"/>
  <c r="Q93" i="4"/>
  <c r="N89" i="4"/>
  <c r="O9" i="4"/>
  <c r="S14" i="4"/>
  <c r="R71" i="4"/>
  <c r="M80" i="4"/>
  <c r="Q94" i="4"/>
  <c r="P99" i="4"/>
  <c r="S4" i="4"/>
  <c r="S95" i="4"/>
  <c r="T7" i="4"/>
  <c r="R68" i="4"/>
  <c r="BD65" i="1"/>
  <c r="Q68" i="4"/>
  <c r="S37" i="4"/>
  <c r="Q43" i="4"/>
  <c r="N60" i="4"/>
  <c r="O14" i="4"/>
  <c r="T20" i="4"/>
  <c r="T83" i="4"/>
  <c r="BG64" i="1"/>
  <c r="BD66" i="1"/>
  <c r="R21" i="4"/>
  <c r="P52" i="4"/>
  <c r="M71" i="4"/>
  <c r="O24" i="4"/>
  <c r="M46" i="4"/>
  <c r="O42" i="4"/>
  <c r="O37" i="4"/>
  <c r="S26" i="4"/>
  <c r="T64" i="4"/>
  <c r="O78" i="4"/>
  <c r="T62" i="4"/>
  <c r="R55" i="4"/>
  <c r="M85" i="4"/>
  <c r="N84" i="4"/>
  <c r="N22" i="4"/>
  <c r="P24" i="4"/>
  <c r="P73" i="4"/>
  <c r="N104" i="4"/>
  <c r="T103" i="4"/>
  <c r="N44" i="4"/>
  <c r="R94" i="4"/>
  <c r="S73" i="4"/>
  <c r="O39" i="4"/>
  <c r="Q47" i="4"/>
  <c r="N61" i="4"/>
  <c r="R38" i="4"/>
  <c r="O89" i="4"/>
  <c r="T31" i="4"/>
  <c r="M101" i="4"/>
  <c r="Q44" i="4"/>
  <c r="BF64" i="1"/>
  <c r="S28" i="4"/>
  <c r="T97" i="4"/>
  <c r="S92" i="4"/>
  <c r="O20" i="4"/>
  <c r="O79" i="4"/>
  <c r="T32" i="4"/>
  <c r="T47" i="4"/>
  <c r="S69" i="4"/>
  <c r="T9" i="4"/>
  <c r="O67" i="4"/>
  <c r="BI64" i="1"/>
  <c r="S72" i="4"/>
  <c r="Q62" i="4"/>
  <c r="N57" i="4"/>
  <c r="O69" i="4"/>
  <c r="Q75" i="4"/>
  <c r="N41" i="4"/>
  <c r="O53" i="4"/>
  <c r="O36" i="4"/>
  <c r="P97" i="4"/>
  <c r="N30" i="4"/>
  <c r="N62" i="4"/>
  <c r="P37" i="4"/>
  <c r="O71" i="4"/>
  <c r="Q16" i="4"/>
  <c r="Q96" i="4"/>
  <c r="P47" i="4"/>
  <c r="N77" i="4"/>
  <c r="R69" i="4"/>
  <c r="R58" i="4"/>
  <c r="R5" i="4"/>
  <c r="M96" i="4"/>
  <c r="P18" i="4"/>
  <c r="O81" i="4"/>
  <c r="Q39" i="4"/>
  <c r="T34" i="4"/>
  <c r="Q90" i="4"/>
  <c r="BE65" i="1"/>
  <c r="M6" i="4"/>
  <c r="R46" i="4"/>
  <c r="N42" i="4"/>
  <c r="N9" i="4"/>
  <c r="M14" i="4"/>
  <c r="R62" i="4"/>
  <c r="R72" i="4"/>
  <c r="Q52" i="4"/>
  <c r="M47" i="4"/>
  <c r="Q12" i="4"/>
  <c r="N37" i="4"/>
  <c r="O44" i="4"/>
  <c r="M94" i="4"/>
  <c r="R24" i="4"/>
  <c r="Q70" i="4"/>
  <c r="T98" i="4"/>
  <c r="O100" i="4"/>
  <c r="N93" i="4"/>
  <c r="M68" i="4"/>
  <c r="R63" i="4"/>
  <c r="Q21" i="4"/>
  <c r="T44" i="4"/>
  <c r="S79" i="4"/>
  <c r="T76" i="4"/>
  <c r="Q80" i="4"/>
  <c r="T55" i="4"/>
  <c r="S88" i="4"/>
  <c r="M83" i="4"/>
  <c r="O88" i="4"/>
  <c r="S18" i="4"/>
  <c r="P20" i="4"/>
  <c r="R18" i="4"/>
  <c r="Q97" i="4"/>
  <c r="R13" i="4"/>
  <c r="N98" i="4"/>
  <c r="M10" i="4"/>
  <c r="M7" i="4"/>
  <c r="M31" i="4"/>
  <c r="S36" i="4"/>
  <c r="N25" i="4"/>
  <c r="O77" i="4"/>
  <c r="S54" i="4"/>
  <c r="T104" i="4"/>
  <c r="S13" i="4"/>
  <c r="R76" i="4"/>
  <c r="N24" i="4"/>
  <c r="O40" i="4"/>
  <c r="O84" i="4"/>
  <c r="M62" i="4"/>
  <c r="P72" i="4"/>
  <c r="R52" i="4"/>
  <c r="T53" i="4"/>
  <c r="N12" i="4"/>
  <c r="S7" i="4"/>
  <c r="M20" i="4"/>
  <c r="S8" i="4"/>
  <c r="P35" i="4"/>
  <c r="S78" i="4"/>
  <c r="M86" i="4"/>
  <c r="P13" i="4"/>
  <c r="T96" i="4"/>
  <c r="T61" i="4"/>
  <c r="P104" i="4"/>
  <c r="S35" i="4"/>
  <c r="T63" i="4"/>
  <c r="P10" i="4"/>
  <c r="BG66" i="1"/>
  <c r="BB67" i="1" l="1"/>
  <c r="C34" i="7"/>
  <c r="D34" i="7" s="1"/>
  <c r="E34" i="7"/>
  <c r="BH67" i="1"/>
  <c r="BC67" i="1"/>
  <c r="BE67" i="1"/>
  <c r="BD67" i="1"/>
  <c r="BI67" i="1"/>
  <c r="BG67" i="1"/>
  <c r="BJ67" i="1"/>
  <c r="BF67" i="1"/>
  <c r="BB68" i="1" l="1"/>
  <c r="C35" i="7"/>
  <c r="D35" i="7" s="1"/>
  <c r="E35" i="7"/>
  <c r="BC68" i="1"/>
  <c r="BE68" i="1"/>
  <c r="BD68" i="1"/>
  <c r="BI68" i="1"/>
  <c r="BH68" i="1"/>
  <c r="BG68" i="1"/>
  <c r="BJ68" i="1"/>
  <c r="BF68" i="1"/>
  <c r="BB69" i="1" l="1"/>
  <c r="C36" i="7"/>
  <c r="D36" i="7" s="1"/>
  <c r="E36" i="7"/>
  <c r="BC69" i="1"/>
  <c r="BI69" i="1"/>
  <c r="BJ69" i="1"/>
  <c r="BD69" i="1"/>
  <c r="BG69" i="1"/>
  <c r="BF69" i="1"/>
  <c r="BH69" i="1"/>
  <c r="BE69" i="1"/>
  <c r="BB70" i="1" l="1"/>
  <c r="C37" i="7"/>
  <c r="D37" i="7" s="1"/>
  <c r="E37" i="7"/>
  <c r="BD70" i="1"/>
  <c r="BI70" i="1"/>
  <c r="BE70" i="1"/>
  <c r="BC70" i="1"/>
  <c r="BG70" i="1"/>
  <c r="BH70" i="1"/>
  <c r="BJ70" i="1"/>
  <c r="BF70" i="1"/>
  <c r="BB71" i="1" l="1"/>
  <c r="C38" i="7"/>
  <c r="D38" i="7" s="1"/>
  <c r="E38" i="7"/>
  <c r="BC71" i="1"/>
  <c r="BD71" i="1"/>
  <c r="BH71" i="1"/>
  <c r="BE71" i="1"/>
  <c r="BF71" i="1"/>
  <c r="BG71" i="1"/>
  <c r="BI71" i="1"/>
  <c r="BJ71" i="1"/>
  <c r="BB72" i="1" l="1"/>
  <c r="C39" i="7"/>
  <c r="D39" i="7" s="1"/>
  <c r="E39" i="7"/>
  <c r="BJ72" i="1"/>
  <c r="BF72" i="1"/>
  <c r="BC72" i="1"/>
  <c r="BE72" i="1"/>
  <c r="BD72" i="1"/>
  <c r="BG72" i="1"/>
  <c r="BI72" i="1"/>
  <c r="BH72" i="1"/>
  <c r="BB73" i="1" l="1"/>
  <c r="C40" i="7"/>
  <c r="D40" i="7" s="1"/>
  <c r="E40" i="7"/>
  <c r="BD73" i="1"/>
  <c r="BC73" i="1"/>
  <c r="BH73" i="1"/>
  <c r="BG73" i="1"/>
  <c r="BE73" i="1"/>
  <c r="BJ73" i="1"/>
  <c r="BI73" i="1"/>
  <c r="BF73" i="1"/>
  <c r="BB74" i="1" l="1"/>
  <c r="C41" i="7"/>
  <c r="D41" i="7" s="1"/>
  <c r="E41" i="7"/>
  <c r="BH74" i="1"/>
  <c r="BE74" i="1"/>
  <c r="BF74" i="1"/>
  <c r="BC74" i="1"/>
  <c r="BJ74" i="1"/>
  <c r="BD74" i="1"/>
  <c r="BI74" i="1"/>
  <c r="BG74" i="1"/>
  <c r="BB75" i="1" l="1"/>
  <c r="C42" i="7"/>
  <c r="D42" i="7" s="1"/>
  <c r="E42" i="7"/>
  <c r="BC75" i="1"/>
  <c r="BI75" i="1"/>
  <c r="BE75" i="1"/>
  <c r="BF75" i="1"/>
  <c r="BD75" i="1"/>
  <c r="BJ75" i="1"/>
  <c r="BG75" i="1"/>
  <c r="BH75" i="1"/>
  <c r="BB76" i="1" l="1"/>
  <c r="C43" i="7"/>
  <c r="D43" i="7" s="1"/>
  <c r="E43" i="7"/>
  <c r="BD76" i="1"/>
  <c r="BI76" i="1"/>
  <c r="BH76" i="1"/>
  <c r="BF76" i="1"/>
  <c r="BC76" i="1"/>
  <c r="BG76" i="1"/>
  <c r="BE76" i="1"/>
  <c r="BJ76" i="1"/>
  <c r="BB77" i="1" l="1"/>
  <c r="C44" i="7"/>
  <c r="D44" i="7" s="1"/>
  <c r="E44" i="7"/>
  <c r="BC77" i="1"/>
  <c r="BI77" i="1"/>
  <c r="BD77" i="1"/>
  <c r="BF77" i="1"/>
  <c r="BJ77" i="1"/>
  <c r="BH77" i="1"/>
  <c r="BG77" i="1"/>
  <c r="BE77" i="1"/>
  <c r="BB78" i="1" l="1"/>
  <c r="C45" i="7"/>
  <c r="D45" i="7" s="1"/>
  <c r="E45" i="7"/>
  <c r="BC78" i="1"/>
  <c r="BE78" i="1"/>
  <c r="BD78" i="1"/>
  <c r="BI78" i="1"/>
  <c r="BF78" i="1"/>
  <c r="BJ78" i="1"/>
  <c r="BG78" i="1"/>
  <c r="BH78" i="1"/>
  <c r="BB79" i="1" l="1"/>
  <c r="C46" i="7"/>
  <c r="D46" i="7" s="1"/>
  <c r="E46" i="7"/>
  <c r="BG79" i="1"/>
  <c r="BF79" i="1"/>
  <c r="BC79" i="1"/>
  <c r="BH79" i="1"/>
  <c r="BE79" i="1"/>
  <c r="BI79" i="1"/>
  <c r="BJ79" i="1"/>
  <c r="BD79" i="1"/>
  <c r="BB80" i="1" l="1"/>
  <c r="C47" i="7"/>
  <c r="D47" i="7" s="1"/>
  <c r="E47" i="7"/>
  <c r="BD80" i="1"/>
  <c r="BF80" i="1"/>
  <c r="BC80" i="1"/>
  <c r="BE80" i="1"/>
  <c r="BH80" i="1"/>
  <c r="BI80" i="1"/>
  <c r="BJ80" i="1"/>
  <c r="BG80" i="1"/>
  <c r="BB81" i="1" l="1"/>
  <c r="C48" i="7"/>
  <c r="D48" i="7" s="1"/>
  <c r="E48" i="7"/>
  <c r="BC81" i="1"/>
  <c r="BB82" i="1" l="1"/>
  <c r="C49" i="7"/>
  <c r="D49" i="7" s="1"/>
  <c r="E49" i="7"/>
  <c r="BF81" i="1"/>
  <c r="BI81" i="1"/>
  <c r="BH82" i="1"/>
  <c r="BJ81" i="1"/>
  <c r="BJ82" i="1"/>
  <c r="BD82" i="1"/>
  <c r="BH81" i="1"/>
  <c r="BD81" i="1"/>
  <c r="BG81" i="1"/>
  <c r="BC82" i="1"/>
  <c r="BE81" i="1"/>
  <c r="BB83" i="1" l="1"/>
  <c r="C50" i="7"/>
  <c r="D50" i="7" s="1"/>
  <c r="E50" i="7"/>
  <c r="BI82" i="1"/>
  <c r="BG83" i="1"/>
  <c r="BC83" i="1"/>
  <c r="BD83" i="1"/>
  <c r="BJ83" i="1"/>
  <c r="BI83" i="1"/>
  <c r="BF82" i="1"/>
  <c r="BH83" i="1"/>
  <c r="BE82" i="1"/>
  <c r="BG82" i="1"/>
  <c r="BF83" i="1"/>
  <c r="BB84" i="1" l="1"/>
  <c r="C51" i="7"/>
  <c r="D51" i="7" s="1"/>
  <c r="E51" i="7"/>
  <c r="BD84" i="1"/>
  <c r="BF84" i="1"/>
  <c r="BJ84" i="1"/>
  <c r="BH84" i="1"/>
  <c r="BI84" i="1"/>
  <c r="BC84" i="1"/>
  <c r="BG84" i="1"/>
  <c r="BE83" i="1"/>
  <c r="BE84" i="1"/>
  <c r="BB85" i="1" l="1"/>
  <c r="C52" i="7"/>
  <c r="D52" i="7" s="1"/>
  <c r="E52" i="7"/>
  <c r="BD85" i="1"/>
  <c r="BC85" i="1"/>
  <c r="BG85" i="1"/>
  <c r="BJ85" i="1"/>
  <c r="BH85" i="1"/>
  <c r="BI85" i="1"/>
  <c r="BE85" i="1"/>
  <c r="BF85" i="1"/>
  <c r="BB86" i="1" l="1"/>
  <c r="C53" i="7"/>
  <c r="D53" i="7" s="1"/>
  <c r="E53" i="7"/>
  <c r="BC86" i="1"/>
  <c r="BI86" i="1"/>
  <c r="BG86" i="1"/>
  <c r="BJ86" i="1"/>
  <c r="BD86" i="1"/>
  <c r="BF86" i="1"/>
  <c r="BE86" i="1"/>
  <c r="BH86" i="1"/>
  <c r="BB87" i="1" l="1"/>
  <c r="C54" i="7"/>
  <c r="D54" i="7" s="1"/>
  <c r="E54" i="7"/>
  <c r="BC87" i="1"/>
  <c r="BB88" i="1" l="1"/>
  <c r="C55" i="7"/>
  <c r="D55" i="7" s="1"/>
  <c r="E55" i="7"/>
  <c r="BJ88" i="1"/>
  <c r="BJ87" i="1"/>
  <c r="BC88" i="1"/>
  <c r="BH88" i="1"/>
  <c r="BD87" i="1"/>
  <c r="BE87" i="1"/>
  <c r="BG87" i="1"/>
  <c r="BI87" i="1"/>
  <c r="BH87" i="1"/>
  <c r="BD88" i="1"/>
  <c r="BF87" i="1"/>
  <c r="BB89" i="1" l="1"/>
  <c r="C56" i="7"/>
  <c r="D56" i="7" s="1"/>
  <c r="E56" i="7"/>
  <c r="BH89" i="1"/>
  <c r="BE89" i="1"/>
  <c r="BF88" i="1"/>
  <c r="BF89" i="1"/>
  <c r="BG89" i="1"/>
  <c r="BJ89" i="1"/>
  <c r="BD89" i="1"/>
  <c r="BE88" i="1"/>
  <c r="BI89" i="1"/>
  <c r="BI88" i="1"/>
  <c r="BC89" i="1"/>
  <c r="BG88" i="1"/>
  <c r="BB90" i="1" l="1"/>
  <c r="C57" i="7"/>
  <c r="D57" i="7" s="1"/>
  <c r="E57" i="7"/>
  <c r="BC90" i="1"/>
  <c r="BE90" i="1"/>
  <c r="BH90" i="1"/>
  <c r="BD90" i="1"/>
  <c r="BI90" i="1"/>
  <c r="BJ90" i="1"/>
  <c r="BF90" i="1"/>
  <c r="BG90" i="1"/>
  <c r="BB91" i="1" l="1"/>
  <c r="C58" i="7"/>
  <c r="D58" i="7" s="1"/>
  <c r="E58" i="7"/>
  <c r="BG91" i="1"/>
  <c r="BI91" i="1"/>
  <c r="BD91" i="1"/>
  <c r="BJ91" i="1"/>
  <c r="BH91" i="1"/>
  <c r="BF91" i="1"/>
  <c r="BC91" i="1"/>
  <c r="BE91" i="1"/>
  <c r="BB92" i="1" l="1"/>
  <c r="C59" i="7"/>
  <c r="D59" i="7" s="1"/>
  <c r="E59" i="7"/>
  <c r="BJ92" i="1"/>
  <c r="BC92" i="1"/>
  <c r="BF92" i="1"/>
  <c r="BE92" i="1"/>
  <c r="BD92" i="1"/>
  <c r="BG92" i="1"/>
  <c r="BH92" i="1"/>
  <c r="BI92" i="1"/>
  <c r="BB93" i="1" l="1"/>
  <c r="C60" i="7"/>
  <c r="D60" i="7" s="1"/>
  <c r="E60" i="7"/>
  <c r="BC93" i="1"/>
  <c r="BH93" i="1"/>
  <c r="BF93" i="1"/>
  <c r="BG93" i="1"/>
  <c r="BE93" i="1"/>
  <c r="BD93" i="1"/>
  <c r="BJ93" i="1"/>
  <c r="BI93" i="1"/>
  <c r="BB94" i="1" l="1"/>
  <c r="C61" i="7"/>
  <c r="D61" i="7" s="1"/>
  <c r="E61" i="7"/>
  <c r="BH94" i="1"/>
  <c r="BI94" i="1"/>
  <c r="BG94" i="1"/>
  <c r="BC94" i="1"/>
  <c r="BF94" i="1"/>
  <c r="BJ94" i="1"/>
  <c r="BE94" i="1"/>
  <c r="BD94" i="1"/>
  <c r="BB95" i="1" l="1"/>
  <c r="C62" i="7"/>
  <c r="D62" i="7" s="1"/>
  <c r="E62" i="7"/>
  <c r="BC95" i="1"/>
  <c r="BF95" i="1"/>
  <c r="BD95" i="1"/>
  <c r="BH95" i="1"/>
  <c r="BJ95" i="1"/>
  <c r="BE95" i="1"/>
  <c r="BG95" i="1"/>
  <c r="BI95" i="1"/>
  <c r="BB96" i="1" l="1"/>
  <c r="C63" i="7"/>
  <c r="D63" i="7" s="1"/>
  <c r="E63" i="7"/>
  <c r="BD96" i="1"/>
  <c r="BH96" i="1"/>
  <c r="BG96" i="1"/>
  <c r="BC96" i="1"/>
  <c r="BE96" i="1"/>
  <c r="BJ96" i="1"/>
  <c r="BI96" i="1"/>
  <c r="BF96" i="1"/>
  <c r="BB97" i="1" l="1"/>
  <c r="C64" i="7"/>
  <c r="D64" i="7" s="1"/>
  <c r="E64" i="7"/>
  <c r="BD97" i="1"/>
  <c r="BJ97" i="1"/>
  <c r="BG97" i="1"/>
  <c r="BC97" i="1"/>
  <c r="BI97" i="1"/>
  <c r="BE97" i="1"/>
  <c r="BH97" i="1"/>
  <c r="BF97" i="1"/>
  <c r="BB98" i="1" l="1"/>
  <c r="C65" i="7"/>
  <c r="D65" i="7" s="1"/>
  <c r="E65" i="7"/>
  <c r="BD98" i="1"/>
  <c r="BC98" i="1"/>
  <c r="BI98" i="1"/>
  <c r="BF98" i="1"/>
  <c r="BH98" i="1"/>
  <c r="BG98" i="1"/>
  <c r="BJ98" i="1"/>
  <c r="BE98" i="1"/>
  <c r="BB99" i="1" l="1"/>
  <c r="C66" i="7"/>
  <c r="D66" i="7" s="1"/>
  <c r="E66" i="7"/>
  <c r="BH99" i="1"/>
  <c r="BG99" i="1"/>
  <c r="BC99" i="1"/>
  <c r="BE99" i="1"/>
  <c r="BF99" i="1"/>
  <c r="BJ99" i="1"/>
  <c r="BI99" i="1"/>
  <c r="BD99" i="1"/>
  <c r="BB100" i="1" l="1"/>
  <c r="C67" i="7"/>
  <c r="D67" i="7" s="1"/>
  <c r="E67" i="7"/>
  <c r="BC100" i="1"/>
  <c r="BG100" i="1"/>
  <c r="BI100" i="1"/>
  <c r="BJ100" i="1"/>
  <c r="BE100" i="1"/>
  <c r="BF100" i="1"/>
  <c r="BD100" i="1"/>
  <c r="BH100" i="1"/>
  <c r="BB101" i="1" l="1"/>
  <c r="C68" i="7"/>
  <c r="D68" i="7" s="1"/>
  <c r="E68" i="7"/>
  <c r="BC101" i="1"/>
  <c r="BF101" i="1"/>
  <c r="BG101" i="1"/>
  <c r="BH101" i="1"/>
  <c r="BI101" i="1"/>
  <c r="BD101" i="1"/>
  <c r="BJ101" i="1"/>
  <c r="BE101" i="1"/>
  <c r="BB102" i="1" l="1"/>
  <c r="C69" i="7"/>
  <c r="D69" i="7" s="1"/>
  <c r="E69" i="7"/>
  <c r="BC102" i="1"/>
  <c r="BJ102" i="1"/>
  <c r="BG102" i="1"/>
  <c r="BD102" i="1"/>
  <c r="BI102" i="1"/>
  <c r="BE102" i="1"/>
  <c r="BF102" i="1"/>
  <c r="BH102" i="1"/>
  <c r="BB103" i="1" l="1"/>
  <c r="C70" i="7"/>
  <c r="D70" i="7" s="1"/>
  <c r="E70" i="7"/>
  <c r="BC103" i="1"/>
  <c r="BI103" i="1"/>
  <c r="BH103" i="1"/>
  <c r="BE103" i="1"/>
  <c r="BD103" i="1"/>
  <c r="BJ103" i="1"/>
  <c r="BG103" i="1"/>
  <c r="BF103" i="1"/>
  <c r="BB104" i="1" l="1"/>
  <c r="C71" i="7"/>
  <c r="D71" i="7" s="1"/>
  <c r="E71" i="7"/>
  <c r="BJ104" i="1"/>
  <c r="BF104" i="1"/>
  <c r="BE104" i="1"/>
  <c r="BC104" i="1"/>
  <c r="BD104" i="1"/>
  <c r="BH104" i="1"/>
  <c r="BI104" i="1"/>
  <c r="BG104" i="1"/>
  <c r="C72" i="7" l="1"/>
  <c r="D72" i="7" s="1"/>
  <c r="E72" i="7"/>
  <c r="C73" i="7" l="1"/>
  <c r="D73" i="7" s="1"/>
  <c r="E73" i="7"/>
  <c r="C74" i="7" l="1"/>
  <c r="D74" i="7" s="1"/>
  <c r="E74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Hans Bernhoff</author>
  </authors>
  <commentList>
    <comment ref="D4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Hans Bernhoff: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Fyll i dessa 3 från projektblad (personliga)</t>
        </r>
      </text>
    </comment>
    <comment ref="BE10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Hans Bernhoff:</t>
        </r>
        <r>
          <rPr>
            <sz val="9"/>
            <color indexed="81"/>
            <rFont val="Tahoma"/>
            <family val="2"/>
          </rPr>
          <t xml:space="preserve">
Fyll i dessa 3 från projektblad (personliga)</t>
        </r>
      </text>
    </comment>
    <comment ref="BE22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Hans Bernhoff:</t>
        </r>
        <r>
          <rPr>
            <sz val="9"/>
            <color indexed="81"/>
            <rFont val="Tahoma"/>
            <family val="2"/>
          </rPr>
          <t xml:space="preserve">
Fyll i dessa 3 från projektblad (personliga)</t>
        </r>
      </text>
    </comment>
  </commentList>
</comments>
</file>

<file path=xl/sharedStrings.xml><?xml version="1.0" encoding="utf-8"?>
<sst xmlns="http://schemas.openxmlformats.org/spreadsheetml/2006/main" count="140" uniqueCount="93">
  <si>
    <t>Poler</t>
  </si>
  <si>
    <t>Remn</t>
  </si>
  <si>
    <t>nb.</t>
  </si>
  <si>
    <t>.</t>
  </si>
  <si>
    <t>T</t>
  </si>
  <si>
    <t>m</t>
  </si>
  <si>
    <t>Höjd:</t>
  </si>
  <si>
    <t>In Diam:</t>
  </si>
  <si>
    <t>Rot Fill</t>
  </si>
  <si>
    <t>Stat Fill:</t>
  </si>
  <si>
    <t>Airgap:</t>
  </si>
  <si>
    <t>mm</t>
  </si>
  <si>
    <t>PM h:</t>
  </si>
  <si>
    <t>Faser:</t>
  </si>
  <si>
    <t>st</t>
  </si>
  <si>
    <t>Pos:\Slot:</t>
  </si>
  <si>
    <t>PP        polpar</t>
  </si>
  <si>
    <t>El.Vinkel</t>
  </si>
  <si>
    <t>q</t>
  </si>
  <si>
    <t>Spår:</t>
  </si>
  <si>
    <t>Alfa</t>
  </si>
  <si>
    <t>Noise</t>
  </si>
  <si>
    <t>Rmn</t>
  </si>
  <si>
    <t>Hc</t>
  </si>
  <si>
    <t>MA/m</t>
  </si>
  <si>
    <t>N45SH</t>
  </si>
  <si>
    <r>
      <t>B</t>
    </r>
    <r>
      <rPr>
        <vertAlign val="subscript"/>
        <sz val="11"/>
        <color theme="1"/>
        <rFont val="Calibri"/>
        <family val="2"/>
        <scheme val="minor"/>
      </rPr>
      <t>agAvg</t>
    </r>
  </si>
  <si>
    <t>RPM</t>
  </si>
  <si>
    <t>rpm</t>
  </si>
  <si>
    <r>
      <t>v</t>
    </r>
    <r>
      <rPr>
        <vertAlign val="subscript"/>
        <sz val="11"/>
        <color theme="1"/>
        <rFont val="Calibri"/>
        <family val="2"/>
        <scheme val="minor"/>
      </rPr>
      <t>ag</t>
    </r>
  </si>
  <si>
    <t>m/s</t>
  </si>
  <si>
    <t>e</t>
  </si>
  <si>
    <t>V/m</t>
  </si>
  <si>
    <r>
      <t>U</t>
    </r>
    <r>
      <rPr>
        <vertAlign val="subscript"/>
        <sz val="11"/>
        <color theme="1"/>
        <rFont val="Calibri"/>
        <family val="2"/>
        <scheme val="minor"/>
      </rPr>
      <t>pos</t>
    </r>
  </si>
  <si>
    <t xml:space="preserve">V </t>
  </si>
  <si>
    <t>f</t>
  </si>
  <si>
    <t>Hz</t>
  </si>
  <si>
    <t>Tid</t>
  </si>
  <si>
    <t>U1</t>
  </si>
  <si>
    <t>U_G</t>
  </si>
  <si>
    <t>gam_G</t>
  </si>
  <si>
    <t>U2</t>
  </si>
  <si>
    <t>U3</t>
  </si>
  <si>
    <t>U4</t>
  </si>
  <si>
    <t>U5</t>
  </si>
  <si>
    <t>rad/s</t>
  </si>
  <si>
    <t>Omega</t>
  </si>
  <si>
    <t>Brus ampl</t>
  </si>
  <si>
    <t xml:space="preserve"> +</t>
  </si>
  <si>
    <t xml:space="preserve"> -</t>
  </si>
  <si>
    <t>fas</t>
  </si>
  <si>
    <t>U6</t>
  </si>
  <si>
    <t>U7</t>
  </si>
  <si>
    <t>U8</t>
  </si>
  <si>
    <t>Up +</t>
  </si>
  <si>
    <t>Ned -</t>
  </si>
  <si>
    <t>Fas</t>
  </si>
  <si>
    <t>Summa ledare i spår:</t>
  </si>
  <si>
    <t>Resultat</t>
  </si>
  <si>
    <t>Koll:</t>
  </si>
  <si>
    <t>Parameter</t>
  </si>
  <si>
    <t>Input</t>
  </si>
  <si>
    <t>Legend:</t>
  </si>
  <si>
    <t>Frekv.</t>
  </si>
  <si>
    <t>HANS:</t>
  </si>
  <si>
    <r>
      <t xml:space="preserve">Pos:\Slot: </t>
    </r>
    <r>
      <rPr>
        <b/>
        <sz val="11"/>
        <color theme="1"/>
        <rFont val="Calibri"/>
        <family val="2"/>
        <scheme val="minor"/>
      </rPr>
      <t>1</t>
    </r>
  </si>
  <si>
    <t>Students:</t>
  </si>
  <si>
    <t>ADAM</t>
  </si>
  <si>
    <t>Sin</t>
  </si>
  <si>
    <t>Magnet</t>
  </si>
  <si>
    <t>Vinkel (rad)</t>
  </si>
  <si>
    <t>[rad]</t>
  </si>
  <si>
    <t>Faser</t>
  </si>
  <si>
    <t>Time</t>
  </si>
  <si>
    <t>Vinkel</t>
  </si>
  <si>
    <t>Fas1</t>
  </si>
  <si>
    <t>Fas2</t>
  </si>
  <si>
    <t>Fas3</t>
  </si>
  <si>
    <t>Fas4</t>
  </si>
  <si>
    <t>Fas5</t>
  </si>
  <si>
    <t>Fas6</t>
  </si>
  <si>
    <t>Fas7</t>
  </si>
  <si>
    <t>Fas8</t>
  </si>
  <si>
    <t>Nom max volt</t>
  </si>
  <si>
    <t>Brus:</t>
  </si>
  <si>
    <t>Brus</t>
  </si>
  <si>
    <t>Summa</t>
  </si>
  <si>
    <r>
      <t>B</t>
    </r>
    <r>
      <rPr>
        <vertAlign val="subscript"/>
        <sz val="11"/>
        <color theme="3" tint="0.79998168889431442"/>
        <rFont val="Calibri"/>
        <family val="2"/>
        <scheme val="minor"/>
      </rPr>
      <t>agAvg</t>
    </r>
  </si>
  <si>
    <t>Sum:</t>
  </si>
  <si>
    <t xml:space="preserve">GenSim14 - räknar all spåspänningar för en mer rektangulär flödestäthet, enl funktion "magnet" </t>
  </si>
  <si>
    <t>REM 2024</t>
  </si>
  <si>
    <t>Test38:</t>
  </si>
  <si>
    <t>Lindnings utläggning stator med max 48 spår och max 8 positioner i varje spår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</si>
</sst>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theme="3" tint="0.79998168889431442"/>
      <name val="Calibri"/>
      <family val="2"/>
      <scheme val="minor"/>
    </font>
    <font>
      <vertAlign val="subscript"/>
      <sz val="11"/>
      <color theme="3" tint="0.79998168889431442"/>
      <name val="Calibri"/>
      <family val="2"/>
      <scheme val="minor"/>
    </font>
    <font>
      <sz val="9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2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medium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ck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4" xfId="0" applyFill="1" applyBorder="1"/>
    <xf numFmtId="0" fontId="0" fillId="2" borderId="5" xfId="0" applyFill="1" applyBorder="1"/>
    <xf numFmtId="0" fontId="0" fillId="0" borderId="6" xfId="0" applyBorder="1"/>
    <xf numFmtId="0" fontId="0" fillId="0" borderId="7" xfId="0" applyBorder="1"/>
    <xf numFmtId="0" fontId="0" fillId="2" borderId="6" xfId="0" applyFill="1" applyBorder="1"/>
    <xf numFmtId="0" fontId="0" fillId="2" borderId="2" xfId="0" applyFill="1" applyBorder="1"/>
    <xf numFmtId="0" fontId="0" fillId="2" borderId="7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9" fontId="0" fillId="0" borderId="0" xfId="0" applyNumberFormat="1"/>
    <xf numFmtId="0" fontId="0" fillId="3" borderId="0" xfId="0" applyFill="1"/>
    <xf numFmtId="0" fontId="0" fillId="0" borderId="0" xfId="0" applyAlignment="1">
      <alignment horizontal="right"/>
    </xf>
    <xf numFmtId="2" fontId="0" fillId="4" borderId="0" xfId="0" applyNumberFormat="1" applyFill="1"/>
    <xf numFmtId="9" fontId="0" fillId="4" borderId="0" xfId="0" applyNumberFormat="1" applyFill="1"/>
    <xf numFmtId="0" fontId="0" fillId="4" borderId="0" xfId="0" applyFill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0" xfId="0" applyFont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  <xf numFmtId="0" fontId="0" fillId="7" borderId="0" xfId="0" applyFill="1"/>
    <xf numFmtId="1" fontId="0" fillId="0" borderId="0" xfId="0" applyNumberFormat="1"/>
    <xf numFmtId="1" fontId="0" fillId="7" borderId="0" xfId="0" applyNumberFormat="1" applyFill="1"/>
    <xf numFmtId="2" fontId="0" fillId="0" borderId="0" xfId="0" applyNumberFormat="1"/>
    <xf numFmtId="0" fontId="0" fillId="2" borderId="11" xfId="0" applyFill="1" applyBorder="1"/>
    <xf numFmtId="0" fontId="0" fillId="2" borderId="12" xfId="0" applyFill="1" applyBorder="1"/>
    <xf numFmtId="0" fontId="0" fillId="0" borderId="13" xfId="0" applyBorder="1"/>
    <xf numFmtId="0" fontId="0" fillId="2" borderId="13" xfId="0" applyFill="1" applyBorder="1"/>
    <xf numFmtId="0" fontId="1" fillId="0" borderId="0" xfId="0" applyFont="1" applyAlignment="1">
      <alignment horizontal="right"/>
    </xf>
    <xf numFmtId="9" fontId="0" fillId="6" borderId="0" xfId="0" applyNumberFormat="1" applyFill="1"/>
    <xf numFmtId="0" fontId="0" fillId="2" borderId="0" xfId="0" applyFill="1"/>
    <xf numFmtId="0" fontId="0" fillId="8" borderId="0" xfId="0" applyFill="1"/>
    <xf numFmtId="9" fontId="0" fillId="8" borderId="0" xfId="0" applyNumberFormat="1" applyFill="1"/>
    <xf numFmtId="2" fontId="0" fillId="8" borderId="0" xfId="0" applyNumberFormat="1" applyFill="1"/>
    <xf numFmtId="0" fontId="0" fillId="2" borderId="14" xfId="0" applyFill="1" applyBorder="1"/>
    <xf numFmtId="0" fontId="0" fillId="2" borderId="1" xfId="0" applyFill="1" applyBorder="1"/>
    <xf numFmtId="0" fontId="0" fillId="0" borderId="15" xfId="0" applyBorder="1"/>
    <xf numFmtId="164" fontId="0" fillId="0" borderId="0" xfId="0" applyNumberFormat="1"/>
    <xf numFmtId="165" fontId="0" fillId="0" borderId="0" xfId="0" applyNumberFormat="1"/>
    <xf numFmtId="0" fontId="3" fillId="0" borderId="0" xfId="0" applyFont="1"/>
    <xf numFmtId="0" fontId="4" fillId="0" borderId="0" xfId="0" applyFont="1"/>
    <xf numFmtId="2" fontId="0" fillId="7" borderId="0" xfId="0" applyNumberFormat="1" applyFill="1"/>
    <xf numFmtId="166" fontId="0" fillId="0" borderId="0" xfId="0" applyNumberFormat="1"/>
    <xf numFmtId="2" fontId="0" fillId="6" borderId="0" xfId="0" applyNumberFormat="1" applyFill="1"/>
    <xf numFmtId="0" fontId="0" fillId="2" borderId="16" xfId="0" applyFill="1" applyBorder="1"/>
    <xf numFmtId="0" fontId="0" fillId="2" borderId="17" xfId="0" applyFill="1" applyBorder="1"/>
    <xf numFmtId="0" fontId="0" fillId="0" borderId="18" xfId="0" applyBorder="1"/>
    <xf numFmtId="0" fontId="0" fillId="2" borderId="18" xfId="0" applyFill="1" applyBorder="1"/>
    <xf numFmtId="0" fontId="0" fillId="0" borderId="19" xfId="0" applyBorder="1"/>
    <xf numFmtId="0" fontId="0" fillId="0" borderId="20" xfId="0" applyBorder="1"/>
    <xf numFmtId="0" fontId="0" fillId="9" borderId="0" xfId="0" applyFill="1"/>
    <xf numFmtId="0" fontId="0" fillId="9" borderId="0" xfId="0" applyFill="1" applyAlignment="1">
      <alignment horizontal="right"/>
    </xf>
    <xf numFmtId="0" fontId="10" fillId="0" borderId="0" xfId="0" applyFont="1" applyAlignment="1">
      <alignment horizontal="right"/>
    </xf>
    <xf numFmtId="2" fontId="10" fillId="10" borderId="0" xfId="0" applyNumberFormat="1" applyFont="1" applyFill="1"/>
    <xf numFmtId="0" fontId="10" fillId="0" borderId="0" xfId="0" applyFont="1"/>
    <xf numFmtId="0" fontId="1" fillId="9" borderId="1" xfId="0" applyFont="1" applyFill="1" applyBorder="1" applyAlignment="1">
      <alignment horizontal="center"/>
    </xf>
    <xf numFmtId="0" fontId="1" fillId="9" borderId="2" xfId="0" applyFont="1" applyFill="1" applyBorder="1" applyAlignment="1">
      <alignment horizontal="center"/>
    </xf>
    <xf numFmtId="0" fontId="1" fillId="9" borderId="9" xfId="0" applyFont="1" applyFill="1" applyBorder="1" applyAlignment="1">
      <alignment horizontal="center"/>
    </xf>
    <xf numFmtId="0" fontId="1" fillId="9" borderId="21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2" fontId="12" fillId="0" borderId="0" xfId="0" applyNumberFormat="1" applyFont="1"/>
    <xf numFmtId="0" fontId="1" fillId="9" borderId="0" xfId="0" applyFont="1" applyFill="1"/>
    <xf numFmtId="2" fontId="0" fillId="11" borderId="0" xfId="0" applyNumberFormat="1" applyFill="1"/>
    <xf numFmtId="0" fontId="0" fillId="11" borderId="0" xfId="0" applyFill="1"/>
    <xf numFmtId="0" fontId="5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8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Funktionform för magnet vs</a:t>
            </a:r>
            <a:r>
              <a:rPr lang="en-US" baseline="0"/>
              <a:t> sinus</a:t>
            </a:r>
            <a:endParaRPr lang="en-US"/>
          </a:p>
        </c:rich>
      </c:tx>
      <c:layout>
        <c:manualLayout>
          <c:xMode val="edge"/>
          <c:yMode val="edge"/>
          <c:x val="0.27280182232346234"/>
          <c:y val="2.86738243355725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9994167395741"/>
          <c:y val="0.14588003933136678"/>
          <c:w val="0.80282881306503351"/>
          <c:h val="0.72088449120851039"/>
        </c:manualLayout>
      </c:layout>
      <c:scatterChart>
        <c:scatterStyle val="lineMarker"/>
        <c:varyColors val="0"/>
        <c:ser>
          <c:idx val="0"/>
          <c:order val="0"/>
          <c:tx>
            <c:strRef>
              <c:f>Rot!$D$10</c:f>
              <c:strCache>
                <c:ptCount val="1"/>
                <c:pt idx="0">
                  <c:v>Sin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Rot!$C$11:$C$74</c:f>
              <c:numCache>
                <c:formatCode>General</c:formatCode>
                <c:ptCount val="6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</c:numCache>
            </c:numRef>
          </c:xVal>
          <c:yVal>
            <c:numRef>
              <c:f>Rot!$D$11:$D$74</c:f>
              <c:numCache>
                <c:formatCode>0.000</c:formatCode>
                <c:ptCount val="64"/>
                <c:pt idx="0">
                  <c:v>0</c:v>
                </c:pt>
                <c:pt idx="1">
                  <c:v>9.9833416646828155E-2</c:v>
                </c:pt>
                <c:pt idx="2">
                  <c:v>0.19866933079506122</c:v>
                </c:pt>
                <c:pt idx="3">
                  <c:v>0.2955202066613396</c:v>
                </c:pt>
                <c:pt idx="4">
                  <c:v>0.38941834230865052</c:v>
                </c:pt>
                <c:pt idx="5">
                  <c:v>0.47942553860420301</c:v>
                </c:pt>
                <c:pt idx="6">
                  <c:v>0.56464247339503537</c:v>
                </c:pt>
                <c:pt idx="7">
                  <c:v>0.64421768723769102</c:v>
                </c:pt>
                <c:pt idx="8">
                  <c:v>0.71735609089952268</c:v>
                </c:pt>
                <c:pt idx="9">
                  <c:v>0.7833269096274833</c:v>
                </c:pt>
                <c:pt idx="10">
                  <c:v>0.84147098480789639</c:v>
                </c:pt>
                <c:pt idx="11">
                  <c:v>0.89120736006143531</c:v>
                </c:pt>
                <c:pt idx="12">
                  <c:v>0.93203908596722629</c:v>
                </c:pt>
                <c:pt idx="13">
                  <c:v>0.96355818541719296</c:v>
                </c:pt>
                <c:pt idx="14">
                  <c:v>0.98544972998846025</c:v>
                </c:pt>
                <c:pt idx="15">
                  <c:v>0.99749498660405445</c:v>
                </c:pt>
                <c:pt idx="16">
                  <c:v>0.99957360304150511</c:v>
                </c:pt>
                <c:pt idx="17">
                  <c:v>0.99166481045246857</c:v>
                </c:pt>
                <c:pt idx="18">
                  <c:v>0.97384763087819504</c:v>
                </c:pt>
                <c:pt idx="19">
                  <c:v>0.94630008768741425</c:v>
                </c:pt>
                <c:pt idx="20">
                  <c:v>0.90929742682568149</c:v>
                </c:pt>
                <c:pt idx="21">
                  <c:v>0.86320936664887349</c:v>
                </c:pt>
                <c:pt idx="22">
                  <c:v>0.80849640381958987</c:v>
                </c:pt>
                <c:pt idx="23">
                  <c:v>0.7457052121767197</c:v>
                </c:pt>
                <c:pt idx="24">
                  <c:v>0.67546318055115029</c:v>
                </c:pt>
                <c:pt idx="25">
                  <c:v>0.59847214410395577</c:v>
                </c:pt>
                <c:pt idx="26">
                  <c:v>0.51550137182146338</c:v>
                </c:pt>
                <c:pt idx="27">
                  <c:v>0.42737988023382895</c:v>
                </c:pt>
                <c:pt idx="28">
                  <c:v>0.33498815015590383</c:v>
                </c:pt>
                <c:pt idx="29">
                  <c:v>0.23924932921398112</c:v>
                </c:pt>
                <c:pt idx="30">
                  <c:v>0.14112000805986591</c:v>
                </c:pt>
                <c:pt idx="31">
                  <c:v>4.1580662433289159E-2</c:v>
                </c:pt>
                <c:pt idx="32">
                  <c:v>-5.8374143427581418E-2</c:v>
                </c:pt>
                <c:pt idx="33">
                  <c:v>-0.15774569414324996</c:v>
                </c:pt>
                <c:pt idx="34">
                  <c:v>-0.25554110202683294</c:v>
                </c:pt>
                <c:pt idx="35">
                  <c:v>-0.3507832276896215</c:v>
                </c:pt>
                <c:pt idx="36">
                  <c:v>-0.44252044329485407</c:v>
                </c:pt>
                <c:pt idx="37">
                  <c:v>-0.52983614090849485</c:v>
                </c:pt>
                <c:pt idx="38">
                  <c:v>-0.61185789094272069</c:v>
                </c:pt>
                <c:pt idx="39">
                  <c:v>-0.68776615918397532</c:v>
                </c:pt>
                <c:pt idx="40">
                  <c:v>-0.75680249530792942</c:v>
                </c:pt>
                <c:pt idx="41">
                  <c:v>-0.81827711106441137</c:v>
                </c:pt>
                <c:pt idx="42">
                  <c:v>-0.87157577241358863</c:v>
                </c:pt>
                <c:pt idx="43">
                  <c:v>-0.91616593674945523</c:v>
                </c:pt>
                <c:pt idx="44">
                  <c:v>-0.95160207388951601</c:v>
                </c:pt>
                <c:pt idx="45">
                  <c:v>-0.97753011766509701</c:v>
                </c:pt>
                <c:pt idx="46">
                  <c:v>-0.99369100363346441</c:v>
                </c:pt>
                <c:pt idx="47">
                  <c:v>-0.99992325756410083</c:v>
                </c:pt>
                <c:pt idx="48">
                  <c:v>-0.99616460883584079</c:v>
                </c:pt>
                <c:pt idx="49">
                  <c:v>-0.98245261262433281</c:v>
                </c:pt>
                <c:pt idx="50">
                  <c:v>-0.95892427466313901</c:v>
                </c:pt>
                <c:pt idx="51">
                  <c:v>-0.92581468232773312</c:v>
                </c:pt>
                <c:pt idx="52">
                  <c:v>-0.88345465572015447</c:v>
                </c:pt>
                <c:pt idx="53">
                  <c:v>-0.8322674422239027</c:v>
                </c:pt>
                <c:pt idx="54">
                  <c:v>-0.77276448755598937</c:v>
                </c:pt>
                <c:pt idx="55">
                  <c:v>-0.70554032557039448</c:v>
                </c:pt>
                <c:pt idx="56">
                  <c:v>-0.63126663787232429</c:v>
                </c:pt>
                <c:pt idx="57">
                  <c:v>-0.55068554259764135</c:v>
                </c:pt>
                <c:pt idx="58">
                  <c:v>-0.46460217941376131</c:v>
                </c:pt>
                <c:pt idx="59">
                  <c:v>-0.37387666483024096</c:v>
                </c:pt>
                <c:pt idx="60">
                  <c:v>-0.27941549819893097</c:v>
                </c:pt>
                <c:pt idx="61">
                  <c:v>-0.18216250427210112</c:v>
                </c:pt>
                <c:pt idx="62">
                  <c:v>-8.30894028175026E-2</c:v>
                </c:pt>
                <c:pt idx="63">
                  <c:v>1.6813900484343496E-2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68-4141-9AA8-221B0B6C6B08}"/>
            </c:ext>
          </c:extLst>
        </c:ser>
        <c:ser>
          <c:idx val="1"/>
          <c:order val="1"/>
          <c:tx>
            <c:strRef>
              <c:f>Rot!$E$10</c:f>
              <c:strCache>
                <c:ptCount val="1"/>
                <c:pt idx="0">
                  <c:v>Magnet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Rot!$C$11:$C$74</c:f>
              <c:numCache>
                <c:formatCode>General</c:formatCode>
                <c:ptCount val="6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</c:numCache>
            </c:numRef>
          </c:xVal>
          <c:yVal>
            <c:numRef>
              <c:f>Rot!$E$11:$E$74</c:f>
              <c:numCache>
                <c:formatCode>0.000</c:formatCode>
                <c:ptCount val="64"/>
                <c:pt idx="0">
                  <c:v>0</c:v>
                </c:pt>
                <c:pt idx="1">
                  <c:v>0.10013635188783612</c:v>
                </c:pt>
                <c:pt idx="2">
                  <c:v>0.21777315760308849</c:v>
                </c:pt>
                <c:pt idx="3">
                  <c:v>0.34429146548449913</c:v>
                </c:pt>
                <c:pt idx="4">
                  <c:v>0.4714546309256149</c:v>
                </c:pt>
                <c:pt idx="5">
                  <c:v>0.59202188504875009</c:v>
                </c:pt>
                <c:pt idx="6">
                  <c:v>0.70023094588541146</c:v>
                </c:pt>
                <c:pt idx="7">
                  <c:v>0.79211310738713459</c:v>
                </c:pt>
                <c:pt idx="8">
                  <c:v>0.86562061925984812</c:v>
                </c:pt>
                <c:pt idx="9">
                  <c:v>0.92056403423078292</c:v>
                </c:pt>
                <c:pt idx="10">
                  <c:v>0.95837490951737547</c:v>
                </c:pt>
                <c:pt idx="11">
                  <c:v>0.98172519466987596</c:v>
                </c:pt>
                <c:pt idx="12">
                  <c:v>0.99404738050154895</c:v>
                </c:pt>
                <c:pt idx="13">
                  <c:v>0.99900788761072967</c:v>
                </c:pt>
                <c:pt idx="14">
                  <c:v>0.99998950572764267</c:v>
                </c:pt>
                <c:pt idx="15">
                  <c:v>0.99963669274026479</c:v>
                </c:pt>
                <c:pt idx="16">
                  <c:v>0.99951043123097461</c:v>
                </c:pt>
                <c:pt idx="17">
                  <c:v>0.99988781553470685</c:v>
                </c:pt>
                <c:pt idx="18">
                  <c:v>0.99972670249133644</c:v>
                </c:pt>
                <c:pt idx="19">
                  <c:v>0.99679900601365468</c:v>
                </c:pt>
                <c:pt idx="20">
                  <c:v>0.98797912589649262</c:v>
                </c:pt>
                <c:pt idx="21">
                  <c:v>0.96965818226408795</c:v>
                </c:pt>
                <c:pt idx="22">
                  <c:v>0.93824166995113911</c:v>
                </c:pt>
                <c:pt idx="23">
                  <c:v>0.89067909081827623</c:v>
                </c:pt>
                <c:pt idx="24">
                  <c:v>0.82496993945867836</c:v>
                </c:pt>
                <c:pt idx="25">
                  <c:v>0.74059153543892631</c:v>
                </c:pt>
                <c:pt idx="26">
                  <c:v>0.63880055294565075</c:v>
                </c:pt>
                <c:pt idx="27">
                  <c:v>0.52277115341968083</c:v>
                </c:pt>
                <c:pt idx="28">
                  <c:v>0.39754740003754779</c:v>
                </c:pt>
                <c:pt idx="29">
                  <c:v>0.26980479801667157</c:v>
                </c:pt>
                <c:pt idx="30">
                  <c:v>0.14743380542456808</c:v>
                </c:pt>
                <c:pt idx="31">
                  <c:v>3.8975349621958068E-2</c:v>
                </c:pt>
                <c:pt idx="32">
                  <c:v>-5.5870076048348531E-2</c:v>
                </c:pt>
                <c:pt idx="33">
                  <c:v>-0.16727328819460141</c:v>
                </c:pt>
                <c:pt idx="34">
                  <c:v>-0.29113501242415435</c:v>
                </c:pt>
                <c:pt idx="35">
                  <c:v>-0.41897916377769318</c:v>
                </c:pt>
                <c:pt idx="36">
                  <c:v>-0.54308363955079553</c:v>
                </c:pt>
                <c:pt idx="37">
                  <c:v>-0.65702269073448449</c:v>
                </c:pt>
                <c:pt idx="38">
                  <c:v>-0.7560551301921542</c:v>
                </c:pt>
                <c:pt idx="39">
                  <c:v>-0.83733110674807854</c:v>
                </c:pt>
                <c:pt idx="40">
                  <c:v>-0.89990761549508891</c:v>
                </c:pt>
                <c:pt idx="41">
                  <c:v>-0.94458088933625173</c:v>
                </c:pt>
                <c:pt idx="42">
                  <c:v>-0.97356068396157902</c:v>
                </c:pt>
                <c:pt idx="43">
                  <c:v>-0.99002570110902699</c:v>
                </c:pt>
                <c:pt idx="44">
                  <c:v>-0.99760971734539217</c:v>
                </c:pt>
                <c:pt idx="45">
                  <c:v>-0.99987348742694049</c:v>
                </c:pt>
                <c:pt idx="46">
                  <c:v>-0.99981770853032892</c:v>
                </c:pt>
                <c:pt idx="47">
                  <c:v>-0.99948728687607191</c:v>
                </c:pt>
                <c:pt idx="48">
                  <c:v>-0.99970734702722452</c:v>
                </c:pt>
                <c:pt idx="49">
                  <c:v>-0.99997780755021737</c:v>
                </c:pt>
                <c:pt idx="50">
                  <c:v>-0.99853720479337615</c:v>
                </c:pt>
                <c:pt idx="51">
                  <c:v>-0.99258930002566081</c:v>
                </c:pt>
                <c:pt idx="52">
                  <c:v>-0.97866946658381904</c:v>
                </c:pt>
                <c:pt idx="53">
                  <c:v>-0.95311347998346774</c:v>
                </c:pt>
                <c:pt idx="54">
                  <c:v>-0.91258048436887496</c:v>
                </c:pt>
                <c:pt idx="55">
                  <c:v>-0.8545756202306275</c:v>
                </c:pt>
                <c:pt idx="56">
                  <c:v>-0.77791669050648671</c:v>
                </c:pt>
                <c:pt idx="57">
                  <c:v>-0.68309345932764476</c:v>
                </c:pt>
                <c:pt idx="58">
                  <c:v>-0.57247737424044742</c:v>
                </c:pt>
                <c:pt idx="59">
                  <c:v>-0.45035287293756571</c:v>
                </c:pt>
                <c:pt idx="60">
                  <c:v>-0.32275778469407185</c:v>
                </c:pt>
                <c:pt idx="61">
                  <c:v>-0.1971381879823686</c:v>
                </c:pt>
                <c:pt idx="62">
                  <c:v>-8.1840812709118957E-2</c:v>
                </c:pt>
                <c:pt idx="63">
                  <c:v>1.5249974196590264E-2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68-4141-9AA8-221B0B6C6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6826783"/>
        <c:axId val="686828863"/>
      </c:scatterChart>
      <c:valAx>
        <c:axId val="686826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Vinkel [rad]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686828863"/>
        <c:crosses val="autoZero"/>
        <c:crossBetween val="midCat"/>
      </c:valAx>
      <c:valAx>
        <c:axId val="686828863"/>
        <c:scaling>
          <c:orientation val="minMax"/>
          <c:max val="1.2"/>
          <c:min val="-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funktions värde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686826783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020003672380455"/>
          <c:y val="0.89068048027526858"/>
          <c:w val="0.28772063985828933"/>
          <c:h val="8.06456953891587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 Simulerade</a:t>
            </a:r>
            <a:r>
              <a:rPr lang="en-US" sz="1600" b="1" baseline="0"/>
              <a:t> </a:t>
            </a:r>
            <a:r>
              <a:rPr lang="en-US" sz="1600" b="1"/>
              <a:t>Fas-spänningar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9.2594968193680599E-2"/>
          <c:y val="0.1058763248850042"/>
          <c:w val="0.88275829432801411"/>
          <c:h val="0.73883945970851816"/>
        </c:manualLayout>
      </c:layout>
      <c:scatterChart>
        <c:scatterStyle val="lineMarker"/>
        <c:varyColors val="0"/>
        <c:ser>
          <c:idx val="0"/>
          <c:order val="0"/>
          <c:tx>
            <c:strRef>
              <c:f>Räkn!$BC$14</c:f>
              <c:strCache>
                <c:ptCount val="1"/>
                <c:pt idx="0">
                  <c:v>Fas1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Räkn!$BA$15:$BA$115</c:f>
              <c:numCache>
                <c:formatCode>General</c:formatCode>
                <c:ptCount val="10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  <c:pt idx="51">
                  <c:v>0.10200000000000008</c:v>
                </c:pt>
                <c:pt idx="52">
                  <c:v>0.10400000000000008</c:v>
                </c:pt>
                <c:pt idx="53">
                  <c:v>0.10600000000000008</c:v>
                </c:pt>
                <c:pt idx="54">
                  <c:v>0.10800000000000008</c:v>
                </c:pt>
                <c:pt idx="55">
                  <c:v>0.11000000000000008</c:v>
                </c:pt>
                <c:pt idx="56">
                  <c:v>0.11200000000000009</c:v>
                </c:pt>
                <c:pt idx="57">
                  <c:v>0.11400000000000009</c:v>
                </c:pt>
                <c:pt idx="58">
                  <c:v>0.11600000000000009</c:v>
                </c:pt>
                <c:pt idx="59">
                  <c:v>0.11800000000000009</c:v>
                </c:pt>
                <c:pt idx="60">
                  <c:v>0.12000000000000009</c:v>
                </c:pt>
                <c:pt idx="61">
                  <c:v>0.12200000000000009</c:v>
                </c:pt>
                <c:pt idx="62">
                  <c:v>0.1240000000000001</c:v>
                </c:pt>
                <c:pt idx="63">
                  <c:v>0.12600000000000008</c:v>
                </c:pt>
                <c:pt idx="64">
                  <c:v>0.12800000000000009</c:v>
                </c:pt>
                <c:pt idx="65">
                  <c:v>0.13000000000000009</c:v>
                </c:pt>
                <c:pt idx="66">
                  <c:v>0.13200000000000009</c:v>
                </c:pt>
                <c:pt idx="67">
                  <c:v>0.13400000000000009</c:v>
                </c:pt>
                <c:pt idx="68">
                  <c:v>0.13600000000000009</c:v>
                </c:pt>
                <c:pt idx="69">
                  <c:v>0.13800000000000009</c:v>
                </c:pt>
                <c:pt idx="70">
                  <c:v>0.1400000000000001</c:v>
                </c:pt>
                <c:pt idx="71">
                  <c:v>0.1420000000000001</c:v>
                </c:pt>
                <c:pt idx="72">
                  <c:v>0.1440000000000001</c:v>
                </c:pt>
                <c:pt idx="73">
                  <c:v>0.1460000000000001</c:v>
                </c:pt>
                <c:pt idx="74">
                  <c:v>0.1480000000000001</c:v>
                </c:pt>
                <c:pt idx="75">
                  <c:v>0.15000000000000011</c:v>
                </c:pt>
                <c:pt idx="76">
                  <c:v>0.15200000000000011</c:v>
                </c:pt>
                <c:pt idx="77">
                  <c:v>0.15400000000000011</c:v>
                </c:pt>
                <c:pt idx="78">
                  <c:v>0.15600000000000011</c:v>
                </c:pt>
                <c:pt idx="79">
                  <c:v>0.15800000000000011</c:v>
                </c:pt>
                <c:pt idx="80">
                  <c:v>0.16000000000000011</c:v>
                </c:pt>
                <c:pt idx="81">
                  <c:v>0.16200000000000012</c:v>
                </c:pt>
                <c:pt idx="82">
                  <c:v>0.16400000000000012</c:v>
                </c:pt>
                <c:pt idx="83">
                  <c:v>0.16600000000000012</c:v>
                </c:pt>
                <c:pt idx="84">
                  <c:v>0.16800000000000012</c:v>
                </c:pt>
                <c:pt idx="85">
                  <c:v>0.17000000000000012</c:v>
                </c:pt>
                <c:pt idx="86">
                  <c:v>0.17200000000000013</c:v>
                </c:pt>
                <c:pt idx="87">
                  <c:v>0.17400000000000013</c:v>
                </c:pt>
                <c:pt idx="88">
                  <c:v>0.17600000000000013</c:v>
                </c:pt>
                <c:pt idx="89">
                  <c:v>0.17800000000000013</c:v>
                </c:pt>
                <c:pt idx="90">
                  <c:v>0.18000000000000013</c:v>
                </c:pt>
                <c:pt idx="91">
                  <c:v>0.18200000000000013</c:v>
                </c:pt>
                <c:pt idx="92">
                  <c:v>0.18400000000000014</c:v>
                </c:pt>
                <c:pt idx="93">
                  <c:v>0.18600000000000014</c:v>
                </c:pt>
                <c:pt idx="94">
                  <c:v>0.18800000000000014</c:v>
                </c:pt>
                <c:pt idx="95">
                  <c:v>0.19000000000000014</c:v>
                </c:pt>
                <c:pt idx="96">
                  <c:v>0.19200000000000014</c:v>
                </c:pt>
                <c:pt idx="97">
                  <c:v>0.19400000000000014</c:v>
                </c:pt>
                <c:pt idx="98">
                  <c:v>0.19600000000000015</c:v>
                </c:pt>
                <c:pt idx="99">
                  <c:v>0.19800000000000015</c:v>
                </c:pt>
                <c:pt idx="100">
                  <c:v>0.20000000000000015</c:v>
                </c:pt>
              </c:numCache>
            </c:numRef>
          </c:xVal>
          <c:yVal>
            <c:numRef>
              <c:f>Räkn!$BC$15:$BC$115</c:f>
              <c:numCache>
                <c:formatCode>0.00</c:formatCode>
                <c:ptCount val="101"/>
                <c:pt idx="0">
                  <c:v>-45.506483293225834</c:v>
                </c:pt>
                <c:pt idx="1">
                  <c:v>-35.006580546422896</c:v>
                </c:pt>
                <c:pt idx="2">
                  <c:v>-20.153904788820803</c:v>
                </c:pt>
                <c:pt idx="3">
                  <c:v>-9.5482617321036614</c:v>
                </c:pt>
                <c:pt idx="4">
                  <c:v>-0.82421610638546305</c:v>
                </c:pt>
                <c:pt idx="5">
                  <c:v>16.813520854228976</c:v>
                </c:pt>
                <c:pt idx="6">
                  <c:v>24.333795706036867</c:v>
                </c:pt>
                <c:pt idx="7">
                  <c:v>33.212215091959997</c:v>
                </c:pt>
                <c:pt idx="8">
                  <c:v>46.686433702426406</c:v>
                </c:pt>
                <c:pt idx="9">
                  <c:v>58.667026086420449</c:v>
                </c:pt>
                <c:pt idx="10">
                  <c:v>70.710790890862967</c:v>
                </c:pt>
                <c:pt idx="11">
                  <c:v>79.243525636099932</c:v>
                </c:pt>
                <c:pt idx="12">
                  <c:v>89.080501955775446</c:v>
                </c:pt>
                <c:pt idx="13">
                  <c:v>97.800572200268235</c:v>
                </c:pt>
                <c:pt idx="14">
                  <c:v>100.07640598696399</c:v>
                </c:pt>
                <c:pt idx="15">
                  <c:v>105.91254910918185</c:v>
                </c:pt>
                <c:pt idx="16">
                  <c:v>116.17196612350676</c:v>
                </c:pt>
                <c:pt idx="17">
                  <c:v>117.4477643233965</c:v>
                </c:pt>
                <c:pt idx="18">
                  <c:v>123.10707759026766</c:v>
                </c:pt>
                <c:pt idx="19">
                  <c:v>125.06079289900049</c:v>
                </c:pt>
                <c:pt idx="20">
                  <c:v>122.53345288349149</c:v>
                </c:pt>
                <c:pt idx="21">
                  <c:v>121.02840454586303</c:v>
                </c:pt>
                <c:pt idx="22">
                  <c:v>119.53153273525045</c:v>
                </c:pt>
                <c:pt idx="23">
                  <c:v>117.82017039006875</c:v>
                </c:pt>
                <c:pt idx="24">
                  <c:v>113.7123182615458</c:v>
                </c:pt>
                <c:pt idx="25">
                  <c:v>104.20775254203132</c:v>
                </c:pt>
                <c:pt idx="26">
                  <c:v>100.2639596784818</c:v>
                </c:pt>
                <c:pt idx="27">
                  <c:v>93.361654522636243</c:v>
                </c:pt>
                <c:pt idx="28">
                  <c:v>79.402667171818464</c:v>
                </c:pt>
                <c:pt idx="29">
                  <c:v>72.533589012117616</c:v>
                </c:pt>
                <c:pt idx="30">
                  <c:v>64.272233582100782</c:v>
                </c:pt>
                <c:pt idx="31">
                  <c:v>50.636719771388812</c:v>
                </c:pt>
                <c:pt idx="32">
                  <c:v>42.500896008965753</c:v>
                </c:pt>
                <c:pt idx="33">
                  <c:v>30.877896196707457</c:v>
                </c:pt>
                <c:pt idx="34">
                  <c:v>19.424144751402174</c:v>
                </c:pt>
                <c:pt idx="35">
                  <c:v>8.2300031170239549</c:v>
                </c:pt>
                <c:pt idx="36">
                  <c:v>-3.0928751415148543</c:v>
                </c:pt>
                <c:pt idx="37">
                  <c:v>-18.579177465283369</c:v>
                </c:pt>
                <c:pt idx="38">
                  <c:v>-28.303159718466446</c:v>
                </c:pt>
                <c:pt idx="39">
                  <c:v>-38.065085081982886</c:v>
                </c:pt>
                <c:pt idx="40">
                  <c:v>-45.185052155222145</c:v>
                </c:pt>
                <c:pt idx="41">
                  <c:v>-55.770726456425578</c:v>
                </c:pt>
                <c:pt idx="42">
                  <c:v>-70.03548979678304</c:v>
                </c:pt>
                <c:pt idx="43">
                  <c:v>-75.753296013359716</c:v>
                </c:pt>
                <c:pt idx="44">
                  <c:v>-85.952652873608827</c:v>
                </c:pt>
                <c:pt idx="45">
                  <c:v>-96.277034665243178</c:v>
                </c:pt>
                <c:pt idx="46">
                  <c:v>-102.53677427194755</c:v>
                </c:pt>
                <c:pt idx="47">
                  <c:v>-104.09711872087264</c:v>
                </c:pt>
                <c:pt idx="48">
                  <c:v>-110.88628927407537</c:v>
                </c:pt>
                <c:pt idx="49">
                  <c:v>-113.81140054859824</c:v>
                </c:pt>
                <c:pt idx="50">
                  <c:v>-112.36522604617198</c:v>
                </c:pt>
                <c:pt idx="51">
                  <c:v>-115.74491013510527</c:v>
                </c:pt>
                <c:pt idx="52">
                  <c:v>-116.07341731526087</c:v>
                </c:pt>
                <c:pt idx="53">
                  <c:v>-113.24039197564403</c:v>
                </c:pt>
                <c:pt idx="54">
                  <c:v>-112.4175372401192</c:v>
                </c:pt>
                <c:pt idx="55">
                  <c:v>-106.35749644561434</c:v>
                </c:pt>
                <c:pt idx="56">
                  <c:v>-100.99057906717717</c:v>
                </c:pt>
                <c:pt idx="57">
                  <c:v>-93.357845771505751</c:v>
                </c:pt>
                <c:pt idx="58">
                  <c:v>-85.425827464903151</c:v>
                </c:pt>
                <c:pt idx="59">
                  <c:v>-78.194449808828566</c:v>
                </c:pt>
                <c:pt idx="60">
                  <c:v>-67.437175128900947</c:v>
                </c:pt>
                <c:pt idx="61">
                  <c:v>-57.623320416169449</c:v>
                </c:pt>
                <c:pt idx="62">
                  <c:v>-51.104840887470139</c:v>
                </c:pt>
                <c:pt idx="63">
                  <c:v>-38.1440317177086</c:v>
                </c:pt>
                <c:pt idx="64">
                  <c:v>-26.206751449304516</c:v>
                </c:pt>
                <c:pt idx="65">
                  <c:v>-17.331613089721888</c:v>
                </c:pt>
                <c:pt idx="66">
                  <c:v>-4.5275215805301334</c:v>
                </c:pt>
                <c:pt idx="67">
                  <c:v>4.3536751847276411</c:v>
                </c:pt>
                <c:pt idx="68">
                  <c:v>21.604114060020336</c:v>
                </c:pt>
                <c:pt idx="69">
                  <c:v>32.93381081355281</c:v>
                </c:pt>
                <c:pt idx="70">
                  <c:v>38.225051891231807</c:v>
                </c:pt>
                <c:pt idx="71">
                  <c:v>49.714610729895377</c:v>
                </c:pt>
                <c:pt idx="72">
                  <c:v>66.540227448505988</c:v>
                </c:pt>
                <c:pt idx="73">
                  <c:v>71.62489716285603</c:v>
                </c:pt>
                <c:pt idx="74">
                  <c:v>83.602777107550622</c:v>
                </c:pt>
                <c:pt idx="75">
                  <c:v>88.795972968905261</c:v>
                </c:pt>
                <c:pt idx="76">
                  <c:v>95.612230033513612</c:v>
                </c:pt>
                <c:pt idx="77">
                  <c:v>108.96774042986539</c:v>
                </c:pt>
                <c:pt idx="78">
                  <c:v>111.33380861329054</c:v>
                </c:pt>
                <c:pt idx="79">
                  <c:v>119.12682894999702</c:v>
                </c:pt>
                <c:pt idx="80">
                  <c:v>119.52159287759098</c:v>
                </c:pt>
                <c:pt idx="81">
                  <c:v>117.685057903607</c:v>
                </c:pt>
                <c:pt idx="82">
                  <c:v>120.08773753016871</c:v>
                </c:pt>
                <c:pt idx="83">
                  <c:v>124.89365941053251</c:v>
                </c:pt>
                <c:pt idx="84">
                  <c:v>120.99201141890427</c:v>
                </c:pt>
                <c:pt idx="85">
                  <c:v>114.68060364765377</c:v>
                </c:pt>
                <c:pt idx="86">
                  <c:v>113.58654182750743</c:v>
                </c:pt>
                <c:pt idx="87">
                  <c:v>105.92943435222617</c:v>
                </c:pt>
                <c:pt idx="88">
                  <c:v>105.10678328854934</c:v>
                </c:pt>
                <c:pt idx="89">
                  <c:v>95.743488624885757</c:v>
                </c:pt>
                <c:pt idx="90">
                  <c:v>89.991167476062387</c:v>
                </c:pt>
                <c:pt idx="91">
                  <c:v>75.950948162842877</c:v>
                </c:pt>
                <c:pt idx="92">
                  <c:v>72.245887296444295</c:v>
                </c:pt>
                <c:pt idx="93">
                  <c:v>58.519501061968192</c:v>
                </c:pt>
                <c:pt idx="94">
                  <c:v>50.795752317644443</c:v>
                </c:pt>
                <c:pt idx="95">
                  <c:v>40.918087525757294</c:v>
                </c:pt>
                <c:pt idx="96">
                  <c:v>22.936622574999305</c:v>
                </c:pt>
                <c:pt idx="97">
                  <c:v>12.648909823269559</c:v>
                </c:pt>
                <c:pt idx="98">
                  <c:v>-0.80888759098200669</c:v>
                </c:pt>
                <c:pt idx="99">
                  <c:v>-8.9269682542360265</c:v>
                </c:pt>
                <c:pt idx="100">
                  <c:v>-23.325410004145684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CE-4E56-AEE7-BB85446DA16F}"/>
            </c:ext>
          </c:extLst>
        </c:ser>
        <c:ser>
          <c:idx val="1"/>
          <c:order val="1"/>
          <c:tx>
            <c:strRef>
              <c:f>Räkn!$BD$14</c:f>
              <c:strCache>
                <c:ptCount val="1"/>
                <c:pt idx="0">
                  <c:v>Fas2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Räkn!$BA$15:$BA$115</c:f>
              <c:numCache>
                <c:formatCode>General</c:formatCode>
                <c:ptCount val="10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  <c:pt idx="51">
                  <c:v>0.10200000000000008</c:v>
                </c:pt>
                <c:pt idx="52">
                  <c:v>0.10400000000000008</c:v>
                </c:pt>
                <c:pt idx="53">
                  <c:v>0.10600000000000008</c:v>
                </c:pt>
                <c:pt idx="54">
                  <c:v>0.10800000000000008</c:v>
                </c:pt>
                <c:pt idx="55">
                  <c:v>0.11000000000000008</c:v>
                </c:pt>
                <c:pt idx="56">
                  <c:v>0.11200000000000009</c:v>
                </c:pt>
                <c:pt idx="57">
                  <c:v>0.11400000000000009</c:v>
                </c:pt>
                <c:pt idx="58">
                  <c:v>0.11600000000000009</c:v>
                </c:pt>
                <c:pt idx="59">
                  <c:v>0.11800000000000009</c:v>
                </c:pt>
                <c:pt idx="60">
                  <c:v>0.12000000000000009</c:v>
                </c:pt>
                <c:pt idx="61">
                  <c:v>0.12200000000000009</c:v>
                </c:pt>
                <c:pt idx="62">
                  <c:v>0.1240000000000001</c:v>
                </c:pt>
                <c:pt idx="63">
                  <c:v>0.12600000000000008</c:v>
                </c:pt>
                <c:pt idx="64">
                  <c:v>0.12800000000000009</c:v>
                </c:pt>
                <c:pt idx="65">
                  <c:v>0.13000000000000009</c:v>
                </c:pt>
                <c:pt idx="66">
                  <c:v>0.13200000000000009</c:v>
                </c:pt>
                <c:pt idx="67">
                  <c:v>0.13400000000000009</c:v>
                </c:pt>
                <c:pt idx="68">
                  <c:v>0.13600000000000009</c:v>
                </c:pt>
                <c:pt idx="69">
                  <c:v>0.13800000000000009</c:v>
                </c:pt>
                <c:pt idx="70">
                  <c:v>0.1400000000000001</c:v>
                </c:pt>
                <c:pt idx="71">
                  <c:v>0.1420000000000001</c:v>
                </c:pt>
                <c:pt idx="72">
                  <c:v>0.1440000000000001</c:v>
                </c:pt>
                <c:pt idx="73">
                  <c:v>0.1460000000000001</c:v>
                </c:pt>
                <c:pt idx="74">
                  <c:v>0.1480000000000001</c:v>
                </c:pt>
                <c:pt idx="75">
                  <c:v>0.15000000000000011</c:v>
                </c:pt>
                <c:pt idx="76">
                  <c:v>0.15200000000000011</c:v>
                </c:pt>
                <c:pt idx="77">
                  <c:v>0.15400000000000011</c:v>
                </c:pt>
                <c:pt idx="78">
                  <c:v>0.15600000000000011</c:v>
                </c:pt>
                <c:pt idx="79">
                  <c:v>0.15800000000000011</c:v>
                </c:pt>
                <c:pt idx="80">
                  <c:v>0.16000000000000011</c:v>
                </c:pt>
                <c:pt idx="81">
                  <c:v>0.16200000000000012</c:v>
                </c:pt>
                <c:pt idx="82">
                  <c:v>0.16400000000000012</c:v>
                </c:pt>
                <c:pt idx="83">
                  <c:v>0.16600000000000012</c:v>
                </c:pt>
                <c:pt idx="84">
                  <c:v>0.16800000000000012</c:v>
                </c:pt>
                <c:pt idx="85">
                  <c:v>0.17000000000000012</c:v>
                </c:pt>
                <c:pt idx="86">
                  <c:v>0.17200000000000013</c:v>
                </c:pt>
                <c:pt idx="87">
                  <c:v>0.17400000000000013</c:v>
                </c:pt>
                <c:pt idx="88">
                  <c:v>0.17600000000000013</c:v>
                </c:pt>
                <c:pt idx="89">
                  <c:v>0.17800000000000013</c:v>
                </c:pt>
                <c:pt idx="90">
                  <c:v>0.18000000000000013</c:v>
                </c:pt>
                <c:pt idx="91">
                  <c:v>0.18200000000000013</c:v>
                </c:pt>
                <c:pt idx="92">
                  <c:v>0.18400000000000014</c:v>
                </c:pt>
                <c:pt idx="93">
                  <c:v>0.18600000000000014</c:v>
                </c:pt>
                <c:pt idx="94">
                  <c:v>0.18800000000000014</c:v>
                </c:pt>
                <c:pt idx="95">
                  <c:v>0.19000000000000014</c:v>
                </c:pt>
                <c:pt idx="96">
                  <c:v>0.19200000000000014</c:v>
                </c:pt>
                <c:pt idx="97">
                  <c:v>0.19400000000000014</c:v>
                </c:pt>
                <c:pt idx="98">
                  <c:v>0.19600000000000015</c:v>
                </c:pt>
                <c:pt idx="99">
                  <c:v>0.19800000000000015</c:v>
                </c:pt>
                <c:pt idx="100">
                  <c:v>0.20000000000000015</c:v>
                </c:pt>
              </c:numCache>
            </c:numRef>
          </c:xVal>
          <c:yVal>
            <c:numRef>
              <c:f>Räkn!$BD$15:$BD$115</c:f>
              <c:numCache>
                <c:formatCode>0.00</c:formatCode>
                <c:ptCount val="101"/>
                <c:pt idx="0">
                  <c:v>92.65111612482707</c:v>
                </c:pt>
                <c:pt idx="1">
                  <c:v>91.143135260777299</c:v>
                </c:pt>
                <c:pt idx="2">
                  <c:v>86.21190668700649</c:v>
                </c:pt>
                <c:pt idx="3">
                  <c:v>86.933204152517007</c:v>
                </c:pt>
                <c:pt idx="4">
                  <c:v>80.191998835210143</c:v>
                </c:pt>
                <c:pt idx="5">
                  <c:v>74.892507029554736</c:v>
                </c:pt>
                <c:pt idx="6">
                  <c:v>72.1723845457919</c:v>
                </c:pt>
                <c:pt idx="7">
                  <c:v>62.771151685354468</c:v>
                </c:pt>
                <c:pt idx="8">
                  <c:v>54.489075101999859</c:v>
                </c:pt>
                <c:pt idx="9">
                  <c:v>43.347596711927281</c:v>
                </c:pt>
                <c:pt idx="10">
                  <c:v>38.700436946157659</c:v>
                </c:pt>
                <c:pt idx="11">
                  <c:v>26.282260493880141</c:v>
                </c:pt>
                <c:pt idx="12">
                  <c:v>15.981021221822674</c:v>
                </c:pt>
                <c:pt idx="13">
                  <c:v>5.552019541033383</c:v>
                </c:pt>
                <c:pt idx="14">
                  <c:v>-2.755545107896026</c:v>
                </c:pt>
                <c:pt idx="15">
                  <c:v>-12.489433911207335</c:v>
                </c:pt>
                <c:pt idx="16">
                  <c:v>-24.904543828047597</c:v>
                </c:pt>
                <c:pt idx="17">
                  <c:v>-33.851872061853058</c:v>
                </c:pt>
                <c:pt idx="18">
                  <c:v>-43.388994512402483</c:v>
                </c:pt>
                <c:pt idx="19">
                  <c:v>-49.596533893563496</c:v>
                </c:pt>
                <c:pt idx="20">
                  <c:v>-56.32458830110798</c:v>
                </c:pt>
                <c:pt idx="21">
                  <c:v>-60.737067826069264</c:v>
                </c:pt>
                <c:pt idx="22">
                  <c:v>-69.242972528711761</c:v>
                </c:pt>
                <c:pt idx="23">
                  <c:v>-72.257183796030347</c:v>
                </c:pt>
                <c:pt idx="24">
                  <c:v>-76.655998992061853</c:v>
                </c:pt>
                <c:pt idx="25">
                  <c:v>-81.292618060654661</c:v>
                </c:pt>
                <c:pt idx="26">
                  <c:v>-82.468077707975596</c:v>
                </c:pt>
                <c:pt idx="27">
                  <c:v>-83.427103667756157</c:v>
                </c:pt>
                <c:pt idx="28">
                  <c:v>-86.116245623073084</c:v>
                </c:pt>
                <c:pt idx="29">
                  <c:v>-85.667630502274747</c:v>
                </c:pt>
                <c:pt idx="30">
                  <c:v>-88.039953147066626</c:v>
                </c:pt>
                <c:pt idx="31">
                  <c:v>-86.995804211466549</c:v>
                </c:pt>
                <c:pt idx="32">
                  <c:v>-85.346959634998129</c:v>
                </c:pt>
                <c:pt idx="33">
                  <c:v>-83.544732914608105</c:v>
                </c:pt>
                <c:pt idx="34">
                  <c:v>-80.385875917566082</c:v>
                </c:pt>
                <c:pt idx="35">
                  <c:v>-75.436600826745774</c:v>
                </c:pt>
                <c:pt idx="36">
                  <c:v>-74.218895166925947</c:v>
                </c:pt>
                <c:pt idx="37">
                  <c:v>-68.418355195360419</c:v>
                </c:pt>
                <c:pt idx="38">
                  <c:v>-58.060528057083268</c:v>
                </c:pt>
                <c:pt idx="39">
                  <c:v>-52.856573742255904</c:v>
                </c:pt>
                <c:pt idx="40">
                  <c:v>-41.045998361614096</c:v>
                </c:pt>
                <c:pt idx="41">
                  <c:v>-33.181623493244857</c:v>
                </c:pt>
                <c:pt idx="42">
                  <c:v>-25.009664927112485</c:v>
                </c:pt>
                <c:pt idx="43">
                  <c:v>-16.642161667258776</c:v>
                </c:pt>
                <c:pt idx="44">
                  <c:v>-3.7752554325652499</c:v>
                </c:pt>
                <c:pt idx="45">
                  <c:v>5.6369572825367174</c:v>
                </c:pt>
                <c:pt idx="46">
                  <c:v>16.307415762394587</c:v>
                </c:pt>
                <c:pt idx="47">
                  <c:v>24.723220740878503</c:v>
                </c:pt>
                <c:pt idx="48">
                  <c:v>35.763791309745862</c:v>
                </c:pt>
                <c:pt idx="49">
                  <c:v>46.914882389460715</c:v>
                </c:pt>
                <c:pt idx="50">
                  <c:v>51.322186926229392</c:v>
                </c:pt>
                <c:pt idx="51">
                  <c:v>59.549641749838749</c:v>
                </c:pt>
                <c:pt idx="52">
                  <c:v>64.391150278675468</c:v>
                </c:pt>
                <c:pt idx="53">
                  <c:v>72.653607090480577</c:v>
                </c:pt>
                <c:pt idx="54">
                  <c:v>75.427516589584158</c:v>
                </c:pt>
                <c:pt idx="55">
                  <c:v>79.955141337390742</c:v>
                </c:pt>
                <c:pt idx="56">
                  <c:v>84.739866070907652</c:v>
                </c:pt>
                <c:pt idx="57">
                  <c:v>88.162257423393328</c:v>
                </c:pt>
                <c:pt idx="58">
                  <c:v>90.083527806848295</c:v>
                </c:pt>
                <c:pt idx="59">
                  <c:v>89.699275265095565</c:v>
                </c:pt>
                <c:pt idx="60">
                  <c:v>93.259470736614986</c:v>
                </c:pt>
                <c:pt idx="61">
                  <c:v>92.316932633607834</c:v>
                </c:pt>
                <c:pt idx="62">
                  <c:v>93.123242248601727</c:v>
                </c:pt>
                <c:pt idx="63">
                  <c:v>89.717801899218614</c:v>
                </c:pt>
                <c:pt idx="64">
                  <c:v>88.122023206096927</c:v>
                </c:pt>
                <c:pt idx="65">
                  <c:v>84.909543203066434</c:v>
                </c:pt>
                <c:pt idx="66">
                  <c:v>83.276719637640468</c:v>
                </c:pt>
                <c:pt idx="67">
                  <c:v>80.503164612122191</c:v>
                </c:pt>
                <c:pt idx="68">
                  <c:v>73.031020058590315</c:v>
                </c:pt>
                <c:pt idx="69">
                  <c:v>66.312238037105303</c:v>
                </c:pt>
                <c:pt idx="70">
                  <c:v>56.138719656020271</c:v>
                </c:pt>
                <c:pt idx="71">
                  <c:v>51.041761841679531</c:v>
                </c:pt>
                <c:pt idx="72">
                  <c:v>41.186874659906437</c:v>
                </c:pt>
                <c:pt idx="73">
                  <c:v>30.231011577679428</c:v>
                </c:pt>
                <c:pt idx="74">
                  <c:v>21.685614507689468</c:v>
                </c:pt>
                <c:pt idx="75">
                  <c:v>10.655802028615284</c:v>
                </c:pt>
                <c:pt idx="76">
                  <c:v>0.33232699722081604</c:v>
                </c:pt>
                <c:pt idx="77">
                  <c:v>-9.5648261717455085</c:v>
                </c:pt>
                <c:pt idx="78">
                  <c:v>-18.698371042815616</c:v>
                </c:pt>
                <c:pt idx="79">
                  <c:v>-29.237149023378059</c:v>
                </c:pt>
                <c:pt idx="80">
                  <c:v>-40.119506119498396</c:v>
                </c:pt>
                <c:pt idx="81">
                  <c:v>-44.817270495826477</c:v>
                </c:pt>
                <c:pt idx="82">
                  <c:v>-52.217499319540998</c:v>
                </c:pt>
                <c:pt idx="83">
                  <c:v>-57.523572828999512</c:v>
                </c:pt>
                <c:pt idx="84">
                  <c:v>-64.518860902271882</c:v>
                </c:pt>
                <c:pt idx="85">
                  <c:v>-71.70871294334431</c:v>
                </c:pt>
                <c:pt idx="86">
                  <c:v>-76.108366931881221</c:v>
                </c:pt>
                <c:pt idx="87">
                  <c:v>-80.486875511612411</c:v>
                </c:pt>
                <c:pt idx="88">
                  <c:v>-82.286432111881695</c:v>
                </c:pt>
                <c:pt idx="89">
                  <c:v>-81.462502894422514</c:v>
                </c:pt>
                <c:pt idx="90">
                  <c:v>-86.61365162235532</c:v>
                </c:pt>
                <c:pt idx="91">
                  <c:v>-85.889897615907202</c:v>
                </c:pt>
                <c:pt idx="92">
                  <c:v>-85.764073024649335</c:v>
                </c:pt>
                <c:pt idx="93">
                  <c:v>-85.366575044184543</c:v>
                </c:pt>
                <c:pt idx="94">
                  <c:v>-86.396473517860045</c:v>
                </c:pt>
                <c:pt idx="95">
                  <c:v>-87.024474006183297</c:v>
                </c:pt>
                <c:pt idx="96">
                  <c:v>-83.964926664112028</c:v>
                </c:pt>
                <c:pt idx="97">
                  <c:v>-80.276165375738273</c:v>
                </c:pt>
                <c:pt idx="98">
                  <c:v>-72.690159645213711</c:v>
                </c:pt>
                <c:pt idx="99">
                  <c:v>-69.292853742204784</c:v>
                </c:pt>
                <c:pt idx="100">
                  <c:v>-65.367902487016906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CE-4E56-AEE7-BB85446DA16F}"/>
            </c:ext>
          </c:extLst>
        </c:ser>
        <c:ser>
          <c:idx val="2"/>
          <c:order val="2"/>
          <c:tx>
            <c:strRef>
              <c:f>Räkn!$BE$14</c:f>
              <c:strCache>
                <c:ptCount val="1"/>
                <c:pt idx="0">
                  <c:v>Fas3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Räkn!$BA$15:$BA$115</c:f>
              <c:numCache>
                <c:formatCode>General</c:formatCode>
                <c:ptCount val="10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  <c:pt idx="51">
                  <c:v>0.10200000000000008</c:v>
                </c:pt>
                <c:pt idx="52">
                  <c:v>0.10400000000000008</c:v>
                </c:pt>
                <c:pt idx="53">
                  <c:v>0.10600000000000008</c:v>
                </c:pt>
                <c:pt idx="54">
                  <c:v>0.10800000000000008</c:v>
                </c:pt>
                <c:pt idx="55">
                  <c:v>0.11000000000000008</c:v>
                </c:pt>
                <c:pt idx="56">
                  <c:v>0.11200000000000009</c:v>
                </c:pt>
                <c:pt idx="57">
                  <c:v>0.11400000000000009</c:v>
                </c:pt>
                <c:pt idx="58">
                  <c:v>0.11600000000000009</c:v>
                </c:pt>
                <c:pt idx="59">
                  <c:v>0.11800000000000009</c:v>
                </c:pt>
                <c:pt idx="60">
                  <c:v>0.12000000000000009</c:v>
                </c:pt>
                <c:pt idx="61">
                  <c:v>0.12200000000000009</c:v>
                </c:pt>
                <c:pt idx="62">
                  <c:v>0.1240000000000001</c:v>
                </c:pt>
                <c:pt idx="63">
                  <c:v>0.12600000000000008</c:v>
                </c:pt>
                <c:pt idx="64">
                  <c:v>0.12800000000000009</c:v>
                </c:pt>
                <c:pt idx="65">
                  <c:v>0.13000000000000009</c:v>
                </c:pt>
                <c:pt idx="66">
                  <c:v>0.13200000000000009</c:v>
                </c:pt>
                <c:pt idx="67">
                  <c:v>0.13400000000000009</c:v>
                </c:pt>
                <c:pt idx="68">
                  <c:v>0.13600000000000009</c:v>
                </c:pt>
                <c:pt idx="69">
                  <c:v>0.13800000000000009</c:v>
                </c:pt>
                <c:pt idx="70">
                  <c:v>0.1400000000000001</c:v>
                </c:pt>
                <c:pt idx="71">
                  <c:v>0.1420000000000001</c:v>
                </c:pt>
                <c:pt idx="72">
                  <c:v>0.1440000000000001</c:v>
                </c:pt>
                <c:pt idx="73">
                  <c:v>0.1460000000000001</c:v>
                </c:pt>
                <c:pt idx="74">
                  <c:v>0.1480000000000001</c:v>
                </c:pt>
                <c:pt idx="75">
                  <c:v>0.15000000000000011</c:v>
                </c:pt>
                <c:pt idx="76">
                  <c:v>0.15200000000000011</c:v>
                </c:pt>
                <c:pt idx="77">
                  <c:v>0.15400000000000011</c:v>
                </c:pt>
                <c:pt idx="78">
                  <c:v>0.15600000000000011</c:v>
                </c:pt>
                <c:pt idx="79">
                  <c:v>0.15800000000000011</c:v>
                </c:pt>
                <c:pt idx="80">
                  <c:v>0.16000000000000011</c:v>
                </c:pt>
                <c:pt idx="81">
                  <c:v>0.16200000000000012</c:v>
                </c:pt>
                <c:pt idx="82">
                  <c:v>0.16400000000000012</c:v>
                </c:pt>
                <c:pt idx="83">
                  <c:v>0.16600000000000012</c:v>
                </c:pt>
                <c:pt idx="84">
                  <c:v>0.16800000000000012</c:v>
                </c:pt>
                <c:pt idx="85">
                  <c:v>0.17000000000000012</c:v>
                </c:pt>
                <c:pt idx="86">
                  <c:v>0.17200000000000013</c:v>
                </c:pt>
                <c:pt idx="87">
                  <c:v>0.17400000000000013</c:v>
                </c:pt>
                <c:pt idx="88">
                  <c:v>0.17600000000000013</c:v>
                </c:pt>
                <c:pt idx="89">
                  <c:v>0.17800000000000013</c:v>
                </c:pt>
                <c:pt idx="90">
                  <c:v>0.18000000000000013</c:v>
                </c:pt>
                <c:pt idx="91">
                  <c:v>0.18200000000000013</c:v>
                </c:pt>
                <c:pt idx="92">
                  <c:v>0.18400000000000014</c:v>
                </c:pt>
                <c:pt idx="93">
                  <c:v>0.18600000000000014</c:v>
                </c:pt>
                <c:pt idx="94">
                  <c:v>0.18800000000000014</c:v>
                </c:pt>
                <c:pt idx="95">
                  <c:v>0.19000000000000014</c:v>
                </c:pt>
                <c:pt idx="96">
                  <c:v>0.19200000000000014</c:v>
                </c:pt>
                <c:pt idx="97">
                  <c:v>0.19400000000000014</c:v>
                </c:pt>
                <c:pt idx="98">
                  <c:v>0.19600000000000015</c:v>
                </c:pt>
                <c:pt idx="99">
                  <c:v>0.19800000000000015</c:v>
                </c:pt>
                <c:pt idx="100">
                  <c:v>0.20000000000000015</c:v>
                </c:pt>
              </c:numCache>
            </c:numRef>
          </c:xVal>
          <c:yVal>
            <c:numRef>
              <c:f>Räkn!$BE$15:$BE$115</c:f>
              <c:numCache>
                <c:formatCode>General</c:formatCode>
                <c:ptCount val="101"/>
                <c:pt idx="0">
                  <c:v>-59.338127258683258</c:v>
                </c:pt>
                <c:pt idx="1">
                  <c:v>-70.743118243994857</c:v>
                </c:pt>
                <c:pt idx="2">
                  <c:v>-79.625800358618989</c:v>
                </c:pt>
                <c:pt idx="3">
                  <c:v>-83.288013473914276</c:v>
                </c:pt>
                <c:pt idx="4">
                  <c:v>-96.663098871779738</c:v>
                </c:pt>
                <c:pt idx="5">
                  <c:v>-103.75886485301557</c:v>
                </c:pt>
                <c:pt idx="6">
                  <c:v>-106.64203681614916</c:v>
                </c:pt>
                <c:pt idx="7">
                  <c:v>-113.38401386500318</c:v>
                </c:pt>
                <c:pt idx="8">
                  <c:v>-121.71174693018142</c:v>
                </c:pt>
                <c:pt idx="9">
                  <c:v>-124.25220620928837</c:v>
                </c:pt>
                <c:pt idx="10">
                  <c:v>-124.37029434046671</c:v>
                </c:pt>
                <c:pt idx="11">
                  <c:v>-123.37236085731067</c:v>
                </c:pt>
                <c:pt idx="12">
                  <c:v>-123.60382329026503</c:v>
                </c:pt>
                <c:pt idx="13">
                  <c:v>-126.15658552454474</c:v>
                </c:pt>
                <c:pt idx="14">
                  <c:v>-117.84929086771261</c:v>
                </c:pt>
                <c:pt idx="15">
                  <c:v>-115.66696616719521</c:v>
                </c:pt>
                <c:pt idx="16">
                  <c:v>-106.1596169887713</c:v>
                </c:pt>
                <c:pt idx="17">
                  <c:v>-96.131364960166891</c:v>
                </c:pt>
                <c:pt idx="18">
                  <c:v>-91.197674259090405</c:v>
                </c:pt>
                <c:pt idx="19">
                  <c:v>-79.509837827760535</c:v>
                </c:pt>
                <c:pt idx="20">
                  <c:v>-71.897578547569012</c:v>
                </c:pt>
                <c:pt idx="21">
                  <c:v>-63.127386705172363</c:v>
                </c:pt>
                <c:pt idx="22">
                  <c:v>-50.595033799447414</c:v>
                </c:pt>
                <c:pt idx="23">
                  <c:v>-34.962266227130769</c:v>
                </c:pt>
                <c:pt idx="24">
                  <c:v>-20.70701658839409</c:v>
                </c:pt>
                <c:pt idx="25">
                  <c:v>-10.924604931838433</c:v>
                </c:pt>
                <c:pt idx="26">
                  <c:v>2.4870211909520701</c:v>
                </c:pt>
                <c:pt idx="27">
                  <c:v>15.284463415848624</c:v>
                </c:pt>
                <c:pt idx="28">
                  <c:v>31.331678958417214</c:v>
                </c:pt>
                <c:pt idx="29">
                  <c:v>36.311918935349766</c:v>
                </c:pt>
                <c:pt idx="30">
                  <c:v>54.095689637163829</c:v>
                </c:pt>
                <c:pt idx="31">
                  <c:v>60.521163102789444</c:v>
                </c:pt>
                <c:pt idx="32">
                  <c:v>71.8328440879731</c:v>
                </c:pt>
                <c:pt idx="33">
                  <c:v>85.575324272044583</c:v>
                </c:pt>
                <c:pt idx="34">
                  <c:v>93.864514196149955</c:v>
                </c:pt>
                <c:pt idx="35">
                  <c:v>99.928395831063042</c:v>
                </c:pt>
                <c:pt idx="36">
                  <c:v>106.07928921933348</c:v>
                </c:pt>
                <c:pt idx="37">
                  <c:v>117.60071556116168</c:v>
                </c:pt>
                <c:pt idx="38">
                  <c:v>124.86814892461844</c:v>
                </c:pt>
                <c:pt idx="39">
                  <c:v>124.85628286852959</c:v>
                </c:pt>
                <c:pt idx="40">
                  <c:v>132.7655612478404</c:v>
                </c:pt>
                <c:pt idx="41">
                  <c:v>133.41725957177979</c:v>
                </c:pt>
                <c:pt idx="42">
                  <c:v>137.36520461767967</c:v>
                </c:pt>
                <c:pt idx="43">
                  <c:v>131.9182780613676</c:v>
                </c:pt>
                <c:pt idx="44">
                  <c:v>129.44076677226795</c:v>
                </c:pt>
                <c:pt idx="45">
                  <c:v>127.90474398132828</c:v>
                </c:pt>
                <c:pt idx="46">
                  <c:v>126.48706450747925</c:v>
                </c:pt>
                <c:pt idx="47">
                  <c:v>117.1106145633412</c:v>
                </c:pt>
                <c:pt idx="48">
                  <c:v>107.63436580531371</c:v>
                </c:pt>
                <c:pt idx="49">
                  <c:v>103.8184620415884</c:v>
                </c:pt>
                <c:pt idx="50">
                  <c:v>94.30186734633223</c:v>
                </c:pt>
                <c:pt idx="51">
                  <c:v>78.11479201653097</c:v>
                </c:pt>
                <c:pt idx="52">
                  <c:v>67.43024601320576</c:v>
                </c:pt>
                <c:pt idx="53">
                  <c:v>60.615482282028097</c:v>
                </c:pt>
                <c:pt idx="54">
                  <c:v>44.85539369160086</c:v>
                </c:pt>
                <c:pt idx="55">
                  <c:v>37.218260625689894</c:v>
                </c:pt>
                <c:pt idx="56">
                  <c:v>19.562755675446109</c:v>
                </c:pt>
                <c:pt idx="57">
                  <c:v>7.2279144168793605</c:v>
                </c:pt>
                <c:pt idx="58">
                  <c:v>-7.8703581526397715</c:v>
                </c:pt>
                <c:pt idx="59">
                  <c:v>-20.40278412983178</c:v>
                </c:pt>
                <c:pt idx="60">
                  <c:v>-30.997019219062135</c:v>
                </c:pt>
                <c:pt idx="61">
                  <c:v>-38.86493145834698</c:v>
                </c:pt>
                <c:pt idx="62">
                  <c:v>-51.09461183975754</c:v>
                </c:pt>
                <c:pt idx="63">
                  <c:v>-63.455549847089188</c:v>
                </c:pt>
                <c:pt idx="64">
                  <c:v>-74.981757554016255</c:v>
                </c:pt>
                <c:pt idx="65">
                  <c:v>-81.671657861055223</c:v>
                </c:pt>
                <c:pt idx="66">
                  <c:v>-94.623831538048023</c:v>
                </c:pt>
                <c:pt idx="67">
                  <c:v>-101.27092233770378</c:v>
                </c:pt>
                <c:pt idx="68">
                  <c:v>-108.81904796038638</c:v>
                </c:pt>
                <c:pt idx="69">
                  <c:v>-114.89928742957599</c:v>
                </c:pt>
                <c:pt idx="70">
                  <c:v>-116.69204451164315</c:v>
                </c:pt>
                <c:pt idx="71">
                  <c:v>-120.87603079512202</c:v>
                </c:pt>
                <c:pt idx="72">
                  <c:v>-123.77321186583031</c:v>
                </c:pt>
                <c:pt idx="73">
                  <c:v>-127.24277941056289</c:v>
                </c:pt>
                <c:pt idx="74">
                  <c:v>-123.32932576826616</c:v>
                </c:pt>
                <c:pt idx="75">
                  <c:v>-127.81156979553626</c:v>
                </c:pt>
                <c:pt idx="76">
                  <c:v>-123.78497366654801</c:v>
                </c:pt>
                <c:pt idx="77">
                  <c:v>-115.5834839415775</c:v>
                </c:pt>
                <c:pt idx="78">
                  <c:v>-113.20306823861924</c:v>
                </c:pt>
                <c:pt idx="79">
                  <c:v>-105.22265660673979</c:v>
                </c:pt>
                <c:pt idx="80">
                  <c:v>-94.097396401384685</c:v>
                </c:pt>
                <c:pt idx="81">
                  <c:v>-88.732521706060965</c:v>
                </c:pt>
                <c:pt idx="82">
                  <c:v>-72.477729870507602</c:v>
                </c:pt>
                <c:pt idx="83">
                  <c:v>-65.712505027836855</c:v>
                </c:pt>
                <c:pt idx="84">
                  <c:v>-50.297014743175616</c:v>
                </c:pt>
                <c:pt idx="85">
                  <c:v>-43.529537070073047</c:v>
                </c:pt>
                <c:pt idx="86">
                  <c:v>-30.912335982448322</c:v>
                </c:pt>
                <c:pt idx="87">
                  <c:v>-14.446680885463008</c:v>
                </c:pt>
                <c:pt idx="88">
                  <c:v>-5.7906728425919622</c:v>
                </c:pt>
                <c:pt idx="89">
                  <c:v>8.4806771372651166</c:v>
                </c:pt>
                <c:pt idx="90">
                  <c:v>24.127927133912706</c:v>
                </c:pt>
                <c:pt idx="91">
                  <c:v>36.820342318946317</c:v>
                </c:pt>
                <c:pt idx="92">
                  <c:v>42.090627953211843</c:v>
                </c:pt>
                <c:pt idx="93">
                  <c:v>56.670585471105248</c:v>
                </c:pt>
                <c:pt idx="94">
                  <c:v>68.356355579011932</c:v>
                </c:pt>
                <c:pt idx="95">
                  <c:v>77.136905061346297</c:v>
                </c:pt>
                <c:pt idx="96">
                  <c:v>85.745218403663046</c:v>
                </c:pt>
                <c:pt idx="97">
                  <c:v>94.368227014522759</c:v>
                </c:pt>
                <c:pt idx="98">
                  <c:v>104.5960883817141</c:v>
                </c:pt>
                <c:pt idx="99">
                  <c:v>110.23707789903175</c:v>
                </c:pt>
                <c:pt idx="100">
                  <c:v>115.48467026310146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CE-4E56-AEE7-BB85446DA16F}"/>
            </c:ext>
          </c:extLst>
        </c:ser>
        <c:ser>
          <c:idx val="3"/>
          <c:order val="3"/>
          <c:tx>
            <c:strRef>
              <c:f>Räkn!$BF$14</c:f>
              <c:strCache>
                <c:ptCount val="1"/>
                <c:pt idx="0">
                  <c:v>Fas4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Räkn!$BA$15:$BA$115</c:f>
              <c:numCache>
                <c:formatCode>General</c:formatCode>
                <c:ptCount val="10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  <c:pt idx="51">
                  <c:v>0.10200000000000008</c:v>
                </c:pt>
                <c:pt idx="52">
                  <c:v>0.10400000000000008</c:v>
                </c:pt>
                <c:pt idx="53">
                  <c:v>0.10600000000000008</c:v>
                </c:pt>
                <c:pt idx="54">
                  <c:v>0.10800000000000008</c:v>
                </c:pt>
                <c:pt idx="55">
                  <c:v>0.11000000000000008</c:v>
                </c:pt>
                <c:pt idx="56">
                  <c:v>0.11200000000000009</c:v>
                </c:pt>
                <c:pt idx="57">
                  <c:v>0.11400000000000009</c:v>
                </c:pt>
                <c:pt idx="58">
                  <c:v>0.11600000000000009</c:v>
                </c:pt>
                <c:pt idx="59">
                  <c:v>0.11800000000000009</c:v>
                </c:pt>
                <c:pt idx="60">
                  <c:v>0.12000000000000009</c:v>
                </c:pt>
                <c:pt idx="61">
                  <c:v>0.12200000000000009</c:v>
                </c:pt>
                <c:pt idx="62">
                  <c:v>0.1240000000000001</c:v>
                </c:pt>
                <c:pt idx="63">
                  <c:v>0.12600000000000008</c:v>
                </c:pt>
                <c:pt idx="64">
                  <c:v>0.12800000000000009</c:v>
                </c:pt>
                <c:pt idx="65">
                  <c:v>0.13000000000000009</c:v>
                </c:pt>
                <c:pt idx="66">
                  <c:v>0.13200000000000009</c:v>
                </c:pt>
                <c:pt idx="67">
                  <c:v>0.13400000000000009</c:v>
                </c:pt>
                <c:pt idx="68">
                  <c:v>0.13600000000000009</c:v>
                </c:pt>
                <c:pt idx="69">
                  <c:v>0.13800000000000009</c:v>
                </c:pt>
                <c:pt idx="70">
                  <c:v>0.1400000000000001</c:v>
                </c:pt>
                <c:pt idx="71">
                  <c:v>0.1420000000000001</c:v>
                </c:pt>
                <c:pt idx="72">
                  <c:v>0.1440000000000001</c:v>
                </c:pt>
                <c:pt idx="73">
                  <c:v>0.1460000000000001</c:v>
                </c:pt>
                <c:pt idx="74">
                  <c:v>0.1480000000000001</c:v>
                </c:pt>
                <c:pt idx="75">
                  <c:v>0.15000000000000011</c:v>
                </c:pt>
                <c:pt idx="76">
                  <c:v>0.15200000000000011</c:v>
                </c:pt>
                <c:pt idx="77">
                  <c:v>0.15400000000000011</c:v>
                </c:pt>
                <c:pt idx="78">
                  <c:v>0.15600000000000011</c:v>
                </c:pt>
                <c:pt idx="79">
                  <c:v>0.15800000000000011</c:v>
                </c:pt>
                <c:pt idx="80">
                  <c:v>0.16000000000000011</c:v>
                </c:pt>
                <c:pt idx="81">
                  <c:v>0.16200000000000012</c:v>
                </c:pt>
                <c:pt idx="82">
                  <c:v>0.16400000000000012</c:v>
                </c:pt>
                <c:pt idx="83">
                  <c:v>0.16600000000000012</c:v>
                </c:pt>
                <c:pt idx="84">
                  <c:v>0.16800000000000012</c:v>
                </c:pt>
                <c:pt idx="85">
                  <c:v>0.17000000000000012</c:v>
                </c:pt>
                <c:pt idx="86">
                  <c:v>0.17200000000000013</c:v>
                </c:pt>
                <c:pt idx="87">
                  <c:v>0.17400000000000013</c:v>
                </c:pt>
                <c:pt idx="88">
                  <c:v>0.17600000000000013</c:v>
                </c:pt>
                <c:pt idx="89">
                  <c:v>0.17800000000000013</c:v>
                </c:pt>
                <c:pt idx="90">
                  <c:v>0.18000000000000013</c:v>
                </c:pt>
                <c:pt idx="91">
                  <c:v>0.18200000000000013</c:v>
                </c:pt>
                <c:pt idx="92">
                  <c:v>0.18400000000000014</c:v>
                </c:pt>
                <c:pt idx="93">
                  <c:v>0.18600000000000014</c:v>
                </c:pt>
                <c:pt idx="94">
                  <c:v>0.18800000000000014</c:v>
                </c:pt>
                <c:pt idx="95">
                  <c:v>0.19000000000000014</c:v>
                </c:pt>
                <c:pt idx="96">
                  <c:v>0.19200000000000014</c:v>
                </c:pt>
                <c:pt idx="97">
                  <c:v>0.19400000000000014</c:v>
                </c:pt>
                <c:pt idx="98">
                  <c:v>0.19600000000000015</c:v>
                </c:pt>
                <c:pt idx="99">
                  <c:v>0.19800000000000015</c:v>
                </c:pt>
                <c:pt idx="100">
                  <c:v>0.20000000000000015</c:v>
                </c:pt>
              </c:numCache>
            </c:numRef>
          </c:xVal>
          <c:yVal>
            <c:numRef>
              <c:f>Räkn!$BF$15:$BF$115</c:f>
              <c:numCache>
                <c:formatCode>General</c:formatCode>
                <c:ptCount val="101"/>
                <c:pt idx="0">
                  <c:v>-7.5382635798886284</c:v>
                </c:pt>
                <c:pt idx="1">
                  <c:v>-8.122254763337839</c:v>
                </c:pt>
                <c:pt idx="2">
                  <c:v>-10.642837671633396</c:v>
                </c:pt>
                <c:pt idx="3">
                  <c:v>-11.474219309713545</c:v>
                </c:pt>
                <c:pt idx="4">
                  <c:v>-12.13738012055931</c:v>
                </c:pt>
                <c:pt idx="5">
                  <c:v>-14.464283133744102</c:v>
                </c:pt>
                <c:pt idx="6">
                  <c:v>-15.779551356694782</c:v>
                </c:pt>
                <c:pt idx="7">
                  <c:v>-16.36591917976957</c:v>
                </c:pt>
                <c:pt idx="8">
                  <c:v>-16.917993605201115</c:v>
                </c:pt>
                <c:pt idx="9">
                  <c:v>-18.084799468589551</c:v>
                </c:pt>
                <c:pt idx="10">
                  <c:v>-18.794359695795748</c:v>
                </c:pt>
                <c:pt idx="11">
                  <c:v>-17.658915960754886</c:v>
                </c:pt>
                <c:pt idx="12">
                  <c:v>-16.67899295923695</c:v>
                </c:pt>
                <c:pt idx="13">
                  <c:v>-16.394054014221837</c:v>
                </c:pt>
                <c:pt idx="14">
                  <c:v>-14.654513251258662</c:v>
                </c:pt>
                <c:pt idx="15">
                  <c:v>-13.811256323558755</c:v>
                </c:pt>
                <c:pt idx="16">
                  <c:v>-11.961993139298018</c:v>
                </c:pt>
                <c:pt idx="17">
                  <c:v>-11.760200739588225</c:v>
                </c:pt>
                <c:pt idx="18">
                  <c:v>-9.875040472157691</c:v>
                </c:pt>
                <c:pt idx="19">
                  <c:v>-7.9343222249701064</c:v>
                </c:pt>
                <c:pt idx="20">
                  <c:v>-7.0462073780386607</c:v>
                </c:pt>
                <c:pt idx="21">
                  <c:v>-5.3923739129475035</c:v>
                </c:pt>
                <c:pt idx="22">
                  <c:v>-3.7015929749804926</c:v>
                </c:pt>
                <c:pt idx="23">
                  <c:v>-1.7942857333176205</c:v>
                </c:pt>
                <c:pt idx="24">
                  <c:v>-1.5684792531624145</c:v>
                </c:pt>
                <c:pt idx="25">
                  <c:v>-0.52650553471842931</c:v>
                </c:pt>
                <c:pt idx="26">
                  <c:v>1.3605829602226529</c:v>
                </c:pt>
                <c:pt idx="27">
                  <c:v>1.9433471276550323</c:v>
                </c:pt>
                <c:pt idx="28">
                  <c:v>3.2955478236775138</c:v>
                </c:pt>
                <c:pt idx="29">
                  <c:v>4.7403893146886968</c:v>
                </c:pt>
                <c:pt idx="30">
                  <c:v>5.8993181550085607</c:v>
                </c:pt>
                <c:pt idx="31">
                  <c:v>8.0417578838835606</c:v>
                </c:pt>
                <c:pt idx="32">
                  <c:v>10.002766069490868</c:v>
                </c:pt>
                <c:pt idx="33">
                  <c:v>10.858812228797039</c:v>
                </c:pt>
                <c:pt idx="34">
                  <c:v>12.084390535651478</c:v>
                </c:pt>
                <c:pt idx="35">
                  <c:v>13.698721055305167</c:v>
                </c:pt>
                <c:pt idx="36">
                  <c:v>15.493279752464126</c:v>
                </c:pt>
                <c:pt idx="37">
                  <c:v>16.203689751153966</c:v>
                </c:pt>
                <c:pt idx="38">
                  <c:v>17.333288264636018</c:v>
                </c:pt>
                <c:pt idx="39">
                  <c:v>18.06656744572625</c:v>
                </c:pt>
                <c:pt idx="40">
                  <c:v>19.486156211444047</c:v>
                </c:pt>
                <c:pt idx="41">
                  <c:v>19.012400922809867</c:v>
                </c:pt>
                <c:pt idx="42">
                  <c:v>19.528109093308416</c:v>
                </c:pt>
                <c:pt idx="43">
                  <c:v>19.236687024200513</c:v>
                </c:pt>
                <c:pt idx="44">
                  <c:v>17.15026691389507</c:v>
                </c:pt>
                <c:pt idx="45">
                  <c:v>16.627333162685257</c:v>
                </c:pt>
                <c:pt idx="46">
                  <c:v>15.226910893888132</c:v>
                </c:pt>
                <c:pt idx="47">
                  <c:v>14.152681503084368</c:v>
                </c:pt>
                <c:pt idx="48">
                  <c:v>12.966243094372869</c:v>
                </c:pt>
                <c:pt idx="49">
                  <c:v>11.402702599748823</c:v>
                </c:pt>
                <c:pt idx="50">
                  <c:v>9.2869332751532276</c:v>
                </c:pt>
                <c:pt idx="51">
                  <c:v>8.6592905420428448</c:v>
                </c:pt>
                <c:pt idx="52">
                  <c:v>6.1415201045902927</c:v>
                </c:pt>
                <c:pt idx="53">
                  <c:v>5.3562998454627504</c:v>
                </c:pt>
                <c:pt idx="54">
                  <c:v>3.5936545879178143</c:v>
                </c:pt>
                <c:pt idx="55">
                  <c:v>2.3602664037880947</c:v>
                </c:pt>
                <c:pt idx="56">
                  <c:v>1.0418830205092264</c:v>
                </c:pt>
                <c:pt idx="57">
                  <c:v>0.68074298135306011</c:v>
                </c:pt>
                <c:pt idx="58">
                  <c:v>-0.28159122993697316</c:v>
                </c:pt>
                <c:pt idx="59">
                  <c:v>-1.7496726333367092</c:v>
                </c:pt>
                <c:pt idx="60">
                  <c:v>-3.6700028998912151</c:v>
                </c:pt>
                <c:pt idx="61">
                  <c:v>-4.7882288666055457</c:v>
                </c:pt>
                <c:pt idx="62">
                  <c:v>-6.7252283269191668</c:v>
                </c:pt>
                <c:pt idx="63">
                  <c:v>-8.2968155298653876</c:v>
                </c:pt>
                <c:pt idx="64">
                  <c:v>-9.8997438999766914</c:v>
                </c:pt>
                <c:pt idx="65">
                  <c:v>-11.197234044462011</c:v>
                </c:pt>
                <c:pt idx="66">
                  <c:v>-12.608897703767827</c:v>
                </c:pt>
                <c:pt idx="67">
                  <c:v>-13.289417481025488</c:v>
                </c:pt>
                <c:pt idx="68">
                  <c:v>-14.862775348905908</c:v>
                </c:pt>
                <c:pt idx="69">
                  <c:v>-15.710929457641162</c:v>
                </c:pt>
                <c:pt idx="70">
                  <c:v>-16.685462275223021</c:v>
                </c:pt>
                <c:pt idx="71">
                  <c:v>-17.346099788626386</c:v>
                </c:pt>
                <c:pt idx="72">
                  <c:v>-17.615171859906468</c:v>
                </c:pt>
                <c:pt idx="73">
                  <c:v>-18.150317723123322</c:v>
                </c:pt>
                <c:pt idx="74">
                  <c:v>-18.236098516814433</c:v>
                </c:pt>
                <c:pt idx="75">
                  <c:v>-17.301844420943493</c:v>
                </c:pt>
                <c:pt idx="76">
                  <c:v>-15.281482319732136</c:v>
                </c:pt>
                <c:pt idx="77">
                  <c:v>-14.512560136217619</c:v>
                </c:pt>
                <c:pt idx="78">
                  <c:v>-13.005510428628629</c:v>
                </c:pt>
                <c:pt idx="79">
                  <c:v>-11.840095380441914</c:v>
                </c:pt>
                <c:pt idx="80">
                  <c:v>-10.846534692830222</c:v>
                </c:pt>
                <c:pt idx="81">
                  <c:v>-9.3063430294843172</c:v>
                </c:pt>
                <c:pt idx="82">
                  <c:v>-6.8071009053834821</c:v>
                </c:pt>
                <c:pt idx="83">
                  <c:v>-5.8215136911986614</c:v>
                </c:pt>
                <c:pt idx="84">
                  <c:v>-3.7994921870749927</c:v>
                </c:pt>
                <c:pt idx="85">
                  <c:v>-2.8234050201031273</c:v>
                </c:pt>
                <c:pt idx="86">
                  <c:v>-1.9398335322224063</c:v>
                </c:pt>
                <c:pt idx="87">
                  <c:v>-0.31465893741020878</c:v>
                </c:pt>
                <c:pt idx="88">
                  <c:v>0.90081702271755781</c:v>
                </c:pt>
                <c:pt idx="89">
                  <c:v>1.5854267845803864</c:v>
                </c:pt>
                <c:pt idx="90">
                  <c:v>3.1520626017052531</c:v>
                </c:pt>
                <c:pt idx="91">
                  <c:v>3.6513237404043677</c:v>
                </c:pt>
                <c:pt idx="92">
                  <c:v>5.0881605731345791</c:v>
                </c:pt>
                <c:pt idx="93">
                  <c:v>7.5224645264788226</c:v>
                </c:pt>
                <c:pt idx="94">
                  <c:v>9.1258155872294271</c:v>
                </c:pt>
                <c:pt idx="95">
                  <c:v>10.689940286358015</c:v>
                </c:pt>
                <c:pt idx="96">
                  <c:v>11.674594721792953</c:v>
                </c:pt>
                <c:pt idx="97">
                  <c:v>12.847464401366025</c:v>
                </c:pt>
                <c:pt idx="98">
                  <c:v>14.16630163350915</c:v>
                </c:pt>
                <c:pt idx="99">
                  <c:v>15.026800645919799</c:v>
                </c:pt>
                <c:pt idx="100">
                  <c:v>16.350559484747347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CE-4E56-AEE7-BB85446DA16F}"/>
            </c:ext>
          </c:extLst>
        </c:ser>
        <c:ser>
          <c:idx val="4"/>
          <c:order val="4"/>
          <c:tx>
            <c:strRef>
              <c:f>Räkn!$BG$14</c:f>
              <c:strCache>
                <c:ptCount val="1"/>
                <c:pt idx="0">
                  <c:v>Fas5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Räkn!$BA$15:$BA$115</c:f>
              <c:numCache>
                <c:formatCode>General</c:formatCode>
                <c:ptCount val="10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  <c:pt idx="51">
                  <c:v>0.10200000000000008</c:v>
                </c:pt>
                <c:pt idx="52">
                  <c:v>0.10400000000000008</c:v>
                </c:pt>
                <c:pt idx="53">
                  <c:v>0.10600000000000008</c:v>
                </c:pt>
                <c:pt idx="54">
                  <c:v>0.10800000000000008</c:v>
                </c:pt>
                <c:pt idx="55">
                  <c:v>0.11000000000000008</c:v>
                </c:pt>
                <c:pt idx="56">
                  <c:v>0.11200000000000009</c:v>
                </c:pt>
                <c:pt idx="57">
                  <c:v>0.11400000000000009</c:v>
                </c:pt>
                <c:pt idx="58">
                  <c:v>0.11600000000000009</c:v>
                </c:pt>
                <c:pt idx="59">
                  <c:v>0.11800000000000009</c:v>
                </c:pt>
                <c:pt idx="60">
                  <c:v>0.12000000000000009</c:v>
                </c:pt>
                <c:pt idx="61">
                  <c:v>0.12200000000000009</c:v>
                </c:pt>
                <c:pt idx="62">
                  <c:v>0.1240000000000001</c:v>
                </c:pt>
                <c:pt idx="63">
                  <c:v>0.12600000000000008</c:v>
                </c:pt>
                <c:pt idx="64">
                  <c:v>0.12800000000000009</c:v>
                </c:pt>
                <c:pt idx="65">
                  <c:v>0.13000000000000009</c:v>
                </c:pt>
                <c:pt idx="66">
                  <c:v>0.13200000000000009</c:v>
                </c:pt>
                <c:pt idx="67">
                  <c:v>0.13400000000000009</c:v>
                </c:pt>
                <c:pt idx="68">
                  <c:v>0.13600000000000009</c:v>
                </c:pt>
                <c:pt idx="69">
                  <c:v>0.13800000000000009</c:v>
                </c:pt>
                <c:pt idx="70">
                  <c:v>0.1400000000000001</c:v>
                </c:pt>
                <c:pt idx="71">
                  <c:v>0.1420000000000001</c:v>
                </c:pt>
                <c:pt idx="72">
                  <c:v>0.1440000000000001</c:v>
                </c:pt>
                <c:pt idx="73">
                  <c:v>0.1460000000000001</c:v>
                </c:pt>
                <c:pt idx="74">
                  <c:v>0.1480000000000001</c:v>
                </c:pt>
                <c:pt idx="75">
                  <c:v>0.15000000000000011</c:v>
                </c:pt>
                <c:pt idx="76">
                  <c:v>0.15200000000000011</c:v>
                </c:pt>
                <c:pt idx="77">
                  <c:v>0.15400000000000011</c:v>
                </c:pt>
                <c:pt idx="78">
                  <c:v>0.15600000000000011</c:v>
                </c:pt>
                <c:pt idx="79">
                  <c:v>0.15800000000000011</c:v>
                </c:pt>
                <c:pt idx="80">
                  <c:v>0.16000000000000011</c:v>
                </c:pt>
                <c:pt idx="81">
                  <c:v>0.16200000000000012</c:v>
                </c:pt>
                <c:pt idx="82">
                  <c:v>0.16400000000000012</c:v>
                </c:pt>
                <c:pt idx="83">
                  <c:v>0.16600000000000012</c:v>
                </c:pt>
                <c:pt idx="84">
                  <c:v>0.16800000000000012</c:v>
                </c:pt>
                <c:pt idx="85">
                  <c:v>0.17000000000000012</c:v>
                </c:pt>
                <c:pt idx="86">
                  <c:v>0.17200000000000013</c:v>
                </c:pt>
                <c:pt idx="87">
                  <c:v>0.17400000000000013</c:v>
                </c:pt>
                <c:pt idx="88">
                  <c:v>0.17600000000000013</c:v>
                </c:pt>
                <c:pt idx="89">
                  <c:v>0.17800000000000013</c:v>
                </c:pt>
                <c:pt idx="90">
                  <c:v>0.18000000000000013</c:v>
                </c:pt>
                <c:pt idx="91">
                  <c:v>0.18200000000000013</c:v>
                </c:pt>
                <c:pt idx="92">
                  <c:v>0.18400000000000014</c:v>
                </c:pt>
                <c:pt idx="93">
                  <c:v>0.18600000000000014</c:v>
                </c:pt>
                <c:pt idx="94">
                  <c:v>0.18800000000000014</c:v>
                </c:pt>
                <c:pt idx="95">
                  <c:v>0.19000000000000014</c:v>
                </c:pt>
                <c:pt idx="96">
                  <c:v>0.19200000000000014</c:v>
                </c:pt>
                <c:pt idx="97">
                  <c:v>0.19400000000000014</c:v>
                </c:pt>
                <c:pt idx="98">
                  <c:v>0.19600000000000015</c:v>
                </c:pt>
                <c:pt idx="99">
                  <c:v>0.19800000000000015</c:v>
                </c:pt>
                <c:pt idx="100">
                  <c:v>0.20000000000000015</c:v>
                </c:pt>
              </c:numCache>
            </c:numRef>
          </c:xVal>
          <c:yVal>
            <c:numRef>
              <c:f>Räkn!$BG$15:$BG$115</c:f>
              <c:numCache>
                <c:formatCode>General</c:formatCode>
                <c:ptCount val="101"/>
                <c:pt idx="0">
                  <c:v>29.583527829133178</c:v>
                </c:pt>
                <c:pt idx="1">
                  <c:v>34.299182898711138</c:v>
                </c:pt>
                <c:pt idx="2">
                  <c:v>37.66617995055708</c:v>
                </c:pt>
                <c:pt idx="3">
                  <c:v>41.437526842128733</c:v>
                </c:pt>
                <c:pt idx="4">
                  <c:v>42.568980768005339</c:v>
                </c:pt>
                <c:pt idx="5">
                  <c:v>44.942222080536489</c:v>
                </c:pt>
                <c:pt idx="6">
                  <c:v>44.616387678918592</c:v>
                </c:pt>
                <c:pt idx="7">
                  <c:v>45.701881951187396</c:v>
                </c:pt>
                <c:pt idx="8">
                  <c:v>47.912276031758232</c:v>
                </c:pt>
                <c:pt idx="9">
                  <c:v>46.810387656162597</c:v>
                </c:pt>
                <c:pt idx="10">
                  <c:v>47.024759005943345</c:v>
                </c:pt>
                <c:pt idx="11">
                  <c:v>48.259196477850722</c:v>
                </c:pt>
                <c:pt idx="12">
                  <c:v>45.909452117264543</c:v>
                </c:pt>
                <c:pt idx="13">
                  <c:v>47.496107431530788</c:v>
                </c:pt>
                <c:pt idx="14">
                  <c:v>44.372735475319267</c:v>
                </c:pt>
                <c:pt idx="15">
                  <c:v>44.064249404644002</c:v>
                </c:pt>
                <c:pt idx="16">
                  <c:v>43.014415973337719</c:v>
                </c:pt>
                <c:pt idx="17">
                  <c:v>38.448759646676351</c:v>
                </c:pt>
                <c:pt idx="18">
                  <c:v>35.335192040039438</c:v>
                </c:pt>
                <c:pt idx="19">
                  <c:v>31.583849606746181</c:v>
                </c:pt>
                <c:pt idx="20">
                  <c:v>28.999869593383913</c:v>
                </c:pt>
                <c:pt idx="21">
                  <c:v>23.918558612395454</c:v>
                </c:pt>
                <c:pt idx="22">
                  <c:v>19.834367511158284</c:v>
                </c:pt>
                <c:pt idx="23">
                  <c:v>13.859979759753507</c:v>
                </c:pt>
                <c:pt idx="24">
                  <c:v>9.1715316304686869</c:v>
                </c:pt>
                <c:pt idx="25">
                  <c:v>2.7126848327144231</c:v>
                </c:pt>
                <c:pt idx="26">
                  <c:v>-0.88363157852650831</c:v>
                </c:pt>
                <c:pt idx="27">
                  <c:v>-8.3064726999694347</c:v>
                </c:pt>
                <c:pt idx="28">
                  <c:v>-11.763776099654903</c:v>
                </c:pt>
                <c:pt idx="29">
                  <c:v>-18.721927373518909</c:v>
                </c:pt>
                <c:pt idx="30">
                  <c:v>-22.195739529098777</c:v>
                </c:pt>
                <c:pt idx="31">
                  <c:v>-26.875793270746794</c:v>
                </c:pt>
                <c:pt idx="32">
                  <c:v>-31.844561480235402</c:v>
                </c:pt>
                <c:pt idx="33">
                  <c:v>-34.450392172002417</c:v>
                </c:pt>
                <c:pt idx="34">
                  <c:v>-38.281560229737984</c:v>
                </c:pt>
                <c:pt idx="35">
                  <c:v>-40.592330507222997</c:v>
                </c:pt>
                <c:pt idx="36">
                  <c:v>-41.365943055456867</c:v>
                </c:pt>
                <c:pt idx="37">
                  <c:v>-42.173915628358536</c:v>
                </c:pt>
                <c:pt idx="38">
                  <c:v>-42.970378441757568</c:v>
                </c:pt>
                <c:pt idx="39">
                  <c:v>-44.139475123162008</c:v>
                </c:pt>
                <c:pt idx="40">
                  <c:v>-46.107398568598619</c:v>
                </c:pt>
                <c:pt idx="41">
                  <c:v>-45.862161086907228</c:v>
                </c:pt>
                <c:pt idx="42">
                  <c:v>-44.785287612000545</c:v>
                </c:pt>
                <c:pt idx="43">
                  <c:v>-45.165267279964112</c:v>
                </c:pt>
                <c:pt idx="44">
                  <c:v>-44.504268728136452</c:v>
                </c:pt>
                <c:pt idx="45">
                  <c:v>-43.025644644911928</c:v>
                </c:pt>
                <c:pt idx="46">
                  <c:v>-42.501765851268956</c:v>
                </c:pt>
                <c:pt idx="47">
                  <c:v>-39.339500089321838</c:v>
                </c:pt>
                <c:pt idx="48">
                  <c:v>-37.152928545050905</c:v>
                </c:pt>
                <c:pt idx="49">
                  <c:v>-34.663011729217224</c:v>
                </c:pt>
                <c:pt idx="50">
                  <c:v>-31.393124121529805</c:v>
                </c:pt>
                <c:pt idx="51">
                  <c:v>-26.63325173515787</c:v>
                </c:pt>
                <c:pt idx="52">
                  <c:v>-23.382832207378161</c:v>
                </c:pt>
                <c:pt idx="53">
                  <c:v>-17.320647969289102</c:v>
                </c:pt>
                <c:pt idx="54">
                  <c:v>-13.649644596923853</c:v>
                </c:pt>
                <c:pt idx="55">
                  <c:v>-8.2284565043696265</c:v>
                </c:pt>
                <c:pt idx="56">
                  <c:v>-3.6042255036403037</c:v>
                </c:pt>
                <c:pt idx="57">
                  <c:v>3.4509205027915675</c:v>
                </c:pt>
                <c:pt idx="58">
                  <c:v>8.6221192393281569</c:v>
                </c:pt>
                <c:pt idx="59">
                  <c:v>14.790341244794485</c:v>
                </c:pt>
                <c:pt idx="60">
                  <c:v>20.066367460238837</c:v>
                </c:pt>
                <c:pt idx="61">
                  <c:v>23.000021164207507</c:v>
                </c:pt>
                <c:pt idx="62">
                  <c:v>27.454859834922452</c:v>
                </c:pt>
                <c:pt idx="63">
                  <c:v>32.380798390383966</c:v>
                </c:pt>
                <c:pt idx="64">
                  <c:v>35.873553682426937</c:v>
                </c:pt>
                <c:pt idx="65">
                  <c:v>38.060731516156459</c:v>
                </c:pt>
                <c:pt idx="66">
                  <c:v>42.082948973456119</c:v>
                </c:pt>
                <c:pt idx="67">
                  <c:v>44.707348853304879</c:v>
                </c:pt>
                <c:pt idx="68">
                  <c:v>46.203085967336222</c:v>
                </c:pt>
                <c:pt idx="69">
                  <c:v>45.445837580569901</c:v>
                </c:pt>
                <c:pt idx="70">
                  <c:v>45.887619608698529</c:v>
                </c:pt>
                <c:pt idx="71">
                  <c:v>47.640379719727115</c:v>
                </c:pt>
                <c:pt idx="72">
                  <c:v>47.629571841231233</c:v>
                </c:pt>
                <c:pt idx="73">
                  <c:v>48.47687972487212</c:v>
                </c:pt>
                <c:pt idx="74">
                  <c:v>48.057454887025571</c:v>
                </c:pt>
                <c:pt idx="75">
                  <c:v>45.739122045472818</c:v>
                </c:pt>
                <c:pt idx="76">
                  <c:v>44.973454304754284</c:v>
                </c:pt>
                <c:pt idx="77">
                  <c:v>44.257352870128898</c:v>
                </c:pt>
                <c:pt idx="78">
                  <c:v>41.759901764300281</c:v>
                </c:pt>
                <c:pt idx="79">
                  <c:v>39.507448199130948</c:v>
                </c:pt>
                <c:pt idx="80">
                  <c:v>38.212275776444876</c:v>
                </c:pt>
                <c:pt idx="81">
                  <c:v>34.650837828404121</c:v>
                </c:pt>
                <c:pt idx="82">
                  <c:v>31.420016236658419</c:v>
                </c:pt>
                <c:pt idx="83">
                  <c:v>26.711286659167992</c:v>
                </c:pt>
                <c:pt idx="84">
                  <c:v>22.624796061287295</c:v>
                </c:pt>
                <c:pt idx="85">
                  <c:v>17.197880472026455</c:v>
                </c:pt>
                <c:pt idx="86">
                  <c:v>10.961624806337394</c:v>
                </c:pt>
                <c:pt idx="87">
                  <c:v>7.3644683868196053</c:v>
                </c:pt>
                <c:pt idx="88">
                  <c:v>0.3163264551325814</c:v>
                </c:pt>
                <c:pt idx="89">
                  <c:v>-4.3269598720261477</c:v>
                </c:pt>
                <c:pt idx="90">
                  <c:v>-9.387681439295358</c:v>
                </c:pt>
                <c:pt idx="91">
                  <c:v>-14.857622137503286</c:v>
                </c:pt>
                <c:pt idx="92">
                  <c:v>-20.301154755055446</c:v>
                </c:pt>
                <c:pt idx="93">
                  <c:v>-25.675006644549697</c:v>
                </c:pt>
                <c:pt idx="94">
                  <c:v>-28.664124701771005</c:v>
                </c:pt>
                <c:pt idx="95">
                  <c:v>-31.747396315628155</c:v>
                </c:pt>
                <c:pt idx="96">
                  <c:v>-36.7315817637351</c:v>
                </c:pt>
                <c:pt idx="97">
                  <c:v>-38.839256736782168</c:v>
                </c:pt>
                <c:pt idx="98">
                  <c:v>-41.747788412837068</c:v>
                </c:pt>
                <c:pt idx="99">
                  <c:v>-43.565100860787481</c:v>
                </c:pt>
                <c:pt idx="100">
                  <c:v>-43.625993988843369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CE-4E56-AEE7-BB85446DA16F}"/>
            </c:ext>
          </c:extLst>
        </c:ser>
        <c:ser>
          <c:idx val="5"/>
          <c:order val="5"/>
          <c:tx>
            <c:strRef>
              <c:f>Räkn!$BH$14</c:f>
              <c:strCache>
                <c:ptCount val="1"/>
                <c:pt idx="0">
                  <c:v>Fas6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Räkn!$BA$15:$BA$115</c:f>
              <c:numCache>
                <c:formatCode>General</c:formatCode>
                <c:ptCount val="10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  <c:pt idx="51">
                  <c:v>0.10200000000000008</c:v>
                </c:pt>
                <c:pt idx="52">
                  <c:v>0.10400000000000008</c:v>
                </c:pt>
                <c:pt idx="53">
                  <c:v>0.10600000000000008</c:v>
                </c:pt>
                <c:pt idx="54">
                  <c:v>0.10800000000000008</c:v>
                </c:pt>
                <c:pt idx="55">
                  <c:v>0.11000000000000008</c:v>
                </c:pt>
                <c:pt idx="56">
                  <c:v>0.11200000000000009</c:v>
                </c:pt>
                <c:pt idx="57">
                  <c:v>0.11400000000000009</c:v>
                </c:pt>
                <c:pt idx="58">
                  <c:v>0.11600000000000009</c:v>
                </c:pt>
                <c:pt idx="59">
                  <c:v>0.11800000000000009</c:v>
                </c:pt>
                <c:pt idx="60">
                  <c:v>0.12000000000000009</c:v>
                </c:pt>
                <c:pt idx="61">
                  <c:v>0.12200000000000009</c:v>
                </c:pt>
                <c:pt idx="62">
                  <c:v>0.1240000000000001</c:v>
                </c:pt>
                <c:pt idx="63">
                  <c:v>0.12600000000000008</c:v>
                </c:pt>
                <c:pt idx="64">
                  <c:v>0.12800000000000009</c:v>
                </c:pt>
                <c:pt idx="65">
                  <c:v>0.13000000000000009</c:v>
                </c:pt>
                <c:pt idx="66">
                  <c:v>0.13200000000000009</c:v>
                </c:pt>
                <c:pt idx="67">
                  <c:v>0.13400000000000009</c:v>
                </c:pt>
                <c:pt idx="68">
                  <c:v>0.13600000000000009</c:v>
                </c:pt>
                <c:pt idx="69">
                  <c:v>0.13800000000000009</c:v>
                </c:pt>
                <c:pt idx="70">
                  <c:v>0.1400000000000001</c:v>
                </c:pt>
                <c:pt idx="71">
                  <c:v>0.1420000000000001</c:v>
                </c:pt>
                <c:pt idx="72">
                  <c:v>0.1440000000000001</c:v>
                </c:pt>
                <c:pt idx="73">
                  <c:v>0.1460000000000001</c:v>
                </c:pt>
                <c:pt idx="74">
                  <c:v>0.1480000000000001</c:v>
                </c:pt>
                <c:pt idx="75">
                  <c:v>0.15000000000000011</c:v>
                </c:pt>
                <c:pt idx="76">
                  <c:v>0.15200000000000011</c:v>
                </c:pt>
                <c:pt idx="77">
                  <c:v>0.15400000000000011</c:v>
                </c:pt>
                <c:pt idx="78">
                  <c:v>0.15600000000000011</c:v>
                </c:pt>
                <c:pt idx="79">
                  <c:v>0.15800000000000011</c:v>
                </c:pt>
                <c:pt idx="80">
                  <c:v>0.16000000000000011</c:v>
                </c:pt>
                <c:pt idx="81">
                  <c:v>0.16200000000000012</c:v>
                </c:pt>
                <c:pt idx="82">
                  <c:v>0.16400000000000012</c:v>
                </c:pt>
                <c:pt idx="83">
                  <c:v>0.16600000000000012</c:v>
                </c:pt>
                <c:pt idx="84">
                  <c:v>0.16800000000000012</c:v>
                </c:pt>
                <c:pt idx="85">
                  <c:v>0.17000000000000012</c:v>
                </c:pt>
                <c:pt idx="86">
                  <c:v>0.17200000000000013</c:v>
                </c:pt>
                <c:pt idx="87">
                  <c:v>0.17400000000000013</c:v>
                </c:pt>
                <c:pt idx="88">
                  <c:v>0.17600000000000013</c:v>
                </c:pt>
                <c:pt idx="89">
                  <c:v>0.17800000000000013</c:v>
                </c:pt>
                <c:pt idx="90">
                  <c:v>0.18000000000000013</c:v>
                </c:pt>
                <c:pt idx="91">
                  <c:v>0.18200000000000013</c:v>
                </c:pt>
                <c:pt idx="92">
                  <c:v>0.18400000000000014</c:v>
                </c:pt>
                <c:pt idx="93">
                  <c:v>0.18600000000000014</c:v>
                </c:pt>
                <c:pt idx="94">
                  <c:v>0.18800000000000014</c:v>
                </c:pt>
                <c:pt idx="95">
                  <c:v>0.19000000000000014</c:v>
                </c:pt>
                <c:pt idx="96">
                  <c:v>0.19200000000000014</c:v>
                </c:pt>
                <c:pt idx="97">
                  <c:v>0.19400000000000014</c:v>
                </c:pt>
                <c:pt idx="98">
                  <c:v>0.19600000000000015</c:v>
                </c:pt>
                <c:pt idx="99">
                  <c:v>0.19800000000000015</c:v>
                </c:pt>
                <c:pt idx="100">
                  <c:v>0.20000000000000015</c:v>
                </c:pt>
              </c:numCache>
            </c:numRef>
          </c:xVal>
          <c:yVal>
            <c:numRef>
              <c:f>Räkn!$BH$15:$BH$115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CE-4E56-AEE7-BB85446DA16F}"/>
            </c:ext>
          </c:extLst>
        </c:ser>
        <c:ser>
          <c:idx val="6"/>
          <c:order val="6"/>
          <c:tx>
            <c:strRef>
              <c:f>Räkn!$BI$14</c:f>
              <c:strCache>
                <c:ptCount val="1"/>
                <c:pt idx="0">
                  <c:v>Fas7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Räkn!$BA$15:$BA$115</c:f>
              <c:numCache>
                <c:formatCode>General</c:formatCode>
                <c:ptCount val="10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  <c:pt idx="51">
                  <c:v>0.10200000000000008</c:v>
                </c:pt>
                <c:pt idx="52">
                  <c:v>0.10400000000000008</c:v>
                </c:pt>
                <c:pt idx="53">
                  <c:v>0.10600000000000008</c:v>
                </c:pt>
                <c:pt idx="54">
                  <c:v>0.10800000000000008</c:v>
                </c:pt>
                <c:pt idx="55">
                  <c:v>0.11000000000000008</c:v>
                </c:pt>
                <c:pt idx="56">
                  <c:v>0.11200000000000009</c:v>
                </c:pt>
                <c:pt idx="57">
                  <c:v>0.11400000000000009</c:v>
                </c:pt>
                <c:pt idx="58">
                  <c:v>0.11600000000000009</c:v>
                </c:pt>
                <c:pt idx="59">
                  <c:v>0.11800000000000009</c:v>
                </c:pt>
                <c:pt idx="60">
                  <c:v>0.12000000000000009</c:v>
                </c:pt>
                <c:pt idx="61">
                  <c:v>0.12200000000000009</c:v>
                </c:pt>
                <c:pt idx="62">
                  <c:v>0.1240000000000001</c:v>
                </c:pt>
                <c:pt idx="63">
                  <c:v>0.12600000000000008</c:v>
                </c:pt>
                <c:pt idx="64">
                  <c:v>0.12800000000000009</c:v>
                </c:pt>
                <c:pt idx="65">
                  <c:v>0.13000000000000009</c:v>
                </c:pt>
                <c:pt idx="66">
                  <c:v>0.13200000000000009</c:v>
                </c:pt>
                <c:pt idx="67">
                  <c:v>0.13400000000000009</c:v>
                </c:pt>
                <c:pt idx="68">
                  <c:v>0.13600000000000009</c:v>
                </c:pt>
                <c:pt idx="69">
                  <c:v>0.13800000000000009</c:v>
                </c:pt>
                <c:pt idx="70">
                  <c:v>0.1400000000000001</c:v>
                </c:pt>
                <c:pt idx="71">
                  <c:v>0.1420000000000001</c:v>
                </c:pt>
                <c:pt idx="72">
                  <c:v>0.1440000000000001</c:v>
                </c:pt>
                <c:pt idx="73">
                  <c:v>0.1460000000000001</c:v>
                </c:pt>
                <c:pt idx="74">
                  <c:v>0.1480000000000001</c:v>
                </c:pt>
                <c:pt idx="75">
                  <c:v>0.15000000000000011</c:v>
                </c:pt>
                <c:pt idx="76">
                  <c:v>0.15200000000000011</c:v>
                </c:pt>
                <c:pt idx="77">
                  <c:v>0.15400000000000011</c:v>
                </c:pt>
                <c:pt idx="78">
                  <c:v>0.15600000000000011</c:v>
                </c:pt>
                <c:pt idx="79">
                  <c:v>0.15800000000000011</c:v>
                </c:pt>
                <c:pt idx="80">
                  <c:v>0.16000000000000011</c:v>
                </c:pt>
                <c:pt idx="81">
                  <c:v>0.16200000000000012</c:v>
                </c:pt>
                <c:pt idx="82">
                  <c:v>0.16400000000000012</c:v>
                </c:pt>
                <c:pt idx="83">
                  <c:v>0.16600000000000012</c:v>
                </c:pt>
                <c:pt idx="84">
                  <c:v>0.16800000000000012</c:v>
                </c:pt>
                <c:pt idx="85">
                  <c:v>0.17000000000000012</c:v>
                </c:pt>
                <c:pt idx="86">
                  <c:v>0.17200000000000013</c:v>
                </c:pt>
                <c:pt idx="87">
                  <c:v>0.17400000000000013</c:v>
                </c:pt>
                <c:pt idx="88">
                  <c:v>0.17600000000000013</c:v>
                </c:pt>
                <c:pt idx="89">
                  <c:v>0.17800000000000013</c:v>
                </c:pt>
                <c:pt idx="90">
                  <c:v>0.18000000000000013</c:v>
                </c:pt>
                <c:pt idx="91">
                  <c:v>0.18200000000000013</c:v>
                </c:pt>
                <c:pt idx="92">
                  <c:v>0.18400000000000014</c:v>
                </c:pt>
                <c:pt idx="93">
                  <c:v>0.18600000000000014</c:v>
                </c:pt>
                <c:pt idx="94">
                  <c:v>0.18800000000000014</c:v>
                </c:pt>
                <c:pt idx="95">
                  <c:v>0.19000000000000014</c:v>
                </c:pt>
                <c:pt idx="96">
                  <c:v>0.19200000000000014</c:v>
                </c:pt>
                <c:pt idx="97">
                  <c:v>0.19400000000000014</c:v>
                </c:pt>
                <c:pt idx="98">
                  <c:v>0.19600000000000015</c:v>
                </c:pt>
                <c:pt idx="99">
                  <c:v>0.19800000000000015</c:v>
                </c:pt>
                <c:pt idx="100">
                  <c:v>0.20000000000000015</c:v>
                </c:pt>
              </c:numCache>
            </c:numRef>
          </c:xVal>
          <c:yVal>
            <c:numRef>
              <c:f>Räkn!$BI$15:$BI$115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ACE-4E56-AEE7-BB85446DA16F}"/>
            </c:ext>
          </c:extLst>
        </c:ser>
        <c:ser>
          <c:idx val="7"/>
          <c:order val="7"/>
          <c:tx>
            <c:strRef>
              <c:f>Räkn!$BJ$14</c:f>
              <c:strCache>
                <c:ptCount val="1"/>
                <c:pt idx="0">
                  <c:v>Fas8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Räkn!$BA$15:$BA$115</c:f>
              <c:numCache>
                <c:formatCode>General</c:formatCode>
                <c:ptCount val="10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  <c:pt idx="51">
                  <c:v>0.10200000000000008</c:v>
                </c:pt>
                <c:pt idx="52">
                  <c:v>0.10400000000000008</c:v>
                </c:pt>
                <c:pt idx="53">
                  <c:v>0.10600000000000008</c:v>
                </c:pt>
                <c:pt idx="54">
                  <c:v>0.10800000000000008</c:v>
                </c:pt>
                <c:pt idx="55">
                  <c:v>0.11000000000000008</c:v>
                </c:pt>
                <c:pt idx="56">
                  <c:v>0.11200000000000009</c:v>
                </c:pt>
                <c:pt idx="57">
                  <c:v>0.11400000000000009</c:v>
                </c:pt>
                <c:pt idx="58">
                  <c:v>0.11600000000000009</c:v>
                </c:pt>
                <c:pt idx="59">
                  <c:v>0.11800000000000009</c:v>
                </c:pt>
                <c:pt idx="60">
                  <c:v>0.12000000000000009</c:v>
                </c:pt>
                <c:pt idx="61">
                  <c:v>0.12200000000000009</c:v>
                </c:pt>
                <c:pt idx="62">
                  <c:v>0.1240000000000001</c:v>
                </c:pt>
                <c:pt idx="63">
                  <c:v>0.12600000000000008</c:v>
                </c:pt>
                <c:pt idx="64">
                  <c:v>0.12800000000000009</c:v>
                </c:pt>
                <c:pt idx="65">
                  <c:v>0.13000000000000009</c:v>
                </c:pt>
                <c:pt idx="66">
                  <c:v>0.13200000000000009</c:v>
                </c:pt>
                <c:pt idx="67">
                  <c:v>0.13400000000000009</c:v>
                </c:pt>
                <c:pt idx="68">
                  <c:v>0.13600000000000009</c:v>
                </c:pt>
                <c:pt idx="69">
                  <c:v>0.13800000000000009</c:v>
                </c:pt>
                <c:pt idx="70">
                  <c:v>0.1400000000000001</c:v>
                </c:pt>
                <c:pt idx="71">
                  <c:v>0.1420000000000001</c:v>
                </c:pt>
                <c:pt idx="72">
                  <c:v>0.1440000000000001</c:v>
                </c:pt>
                <c:pt idx="73">
                  <c:v>0.1460000000000001</c:v>
                </c:pt>
                <c:pt idx="74">
                  <c:v>0.1480000000000001</c:v>
                </c:pt>
                <c:pt idx="75">
                  <c:v>0.15000000000000011</c:v>
                </c:pt>
                <c:pt idx="76">
                  <c:v>0.15200000000000011</c:v>
                </c:pt>
                <c:pt idx="77">
                  <c:v>0.15400000000000011</c:v>
                </c:pt>
                <c:pt idx="78">
                  <c:v>0.15600000000000011</c:v>
                </c:pt>
                <c:pt idx="79">
                  <c:v>0.15800000000000011</c:v>
                </c:pt>
                <c:pt idx="80">
                  <c:v>0.16000000000000011</c:v>
                </c:pt>
                <c:pt idx="81">
                  <c:v>0.16200000000000012</c:v>
                </c:pt>
                <c:pt idx="82">
                  <c:v>0.16400000000000012</c:v>
                </c:pt>
                <c:pt idx="83">
                  <c:v>0.16600000000000012</c:v>
                </c:pt>
                <c:pt idx="84">
                  <c:v>0.16800000000000012</c:v>
                </c:pt>
                <c:pt idx="85">
                  <c:v>0.17000000000000012</c:v>
                </c:pt>
                <c:pt idx="86">
                  <c:v>0.17200000000000013</c:v>
                </c:pt>
                <c:pt idx="87">
                  <c:v>0.17400000000000013</c:v>
                </c:pt>
                <c:pt idx="88">
                  <c:v>0.17600000000000013</c:v>
                </c:pt>
                <c:pt idx="89">
                  <c:v>0.17800000000000013</c:v>
                </c:pt>
                <c:pt idx="90">
                  <c:v>0.18000000000000013</c:v>
                </c:pt>
                <c:pt idx="91">
                  <c:v>0.18200000000000013</c:v>
                </c:pt>
                <c:pt idx="92">
                  <c:v>0.18400000000000014</c:v>
                </c:pt>
                <c:pt idx="93">
                  <c:v>0.18600000000000014</c:v>
                </c:pt>
                <c:pt idx="94">
                  <c:v>0.18800000000000014</c:v>
                </c:pt>
                <c:pt idx="95">
                  <c:v>0.19000000000000014</c:v>
                </c:pt>
                <c:pt idx="96">
                  <c:v>0.19200000000000014</c:v>
                </c:pt>
                <c:pt idx="97">
                  <c:v>0.19400000000000014</c:v>
                </c:pt>
                <c:pt idx="98">
                  <c:v>0.19600000000000015</c:v>
                </c:pt>
                <c:pt idx="99">
                  <c:v>0.19800000000000015</c:v>
                </c:pt>
                <c:pt idx="100">
                  <c:v>0.20000000000000015</c:v>
                </c:pt>
              </c:numCache>
            </c:numRef>
          </c:xVal>
          <c:yVal>
            <c:numRef>
              <c:f>Räkn!$BJ$15:$BJ$115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ACE-4E56-AEE7-BB85446DA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1756415"/>
        <c:axId val="921759743"/>
      </c:scatterChart>
      <c:valAx>
        <c:axId val="921756415"/>
        <c:scaling>
          <c:orientation val="minMax"/>
          <c:max val="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Tid [s]</a:t>
                </a:r>
              </a:p>
            </c:rich>
          </c:tx>
          <c:layout>
            <c:manualLayout>
              <c:xMode val="edge"/>
              <c:yMode val="edge"/>
              <c:x val="0.93907658772590497"/>
              <c:y val="0.9192651334589515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921759743"/>
        <c:crosses val="autoZero"/>
        <c:crossBetween val="midCat"/>
      </c:valAx>
      <c:valAx>
        <c:axId val="921759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Spänning [V]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9217564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9023279505540067E-2"/>
          <c:y val="0.92872423741188348"/>
          <c:w val="0.75163065341907787"/>
          <c:h val="5.63671415682315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Fas-spänningar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Räkn!$BC$14</c:f>
              <c:strCache>
                <c:ptCount val="1"/>
                <c:pt idx="0">
                  <c:v>Fas1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Räkn!$BA$15:$BA$115</c:f>
              <c:numCache>
                <c:formatCode>General</c:formatCode>
                <c:ptCount val="10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  <c:pt idx="51">
                  <c:v>0.10200000000000008</c:v>
                </c:pt>
                <c:pt idx="52">
                  <c:v>0.10400000000000008</c:v>
                </c:pt>
                <c:pt idx="53">
                  <c:v>0.10600000000000008</c:v>
                </c:pt>
                <c:pt idx="54">
                  <c:v>0.10800000000000008</c:v>
                </c:pt>
                <c:pt idx="55">
                  <c:v>0.11000000000000008</c:v>
                </c:pt>
                <c:pt idx="56">
                  <c:v>0.11200000000000009</c:v>
                </c:pt>
                <c:pt idx="57">
                  <c:v>0.11400000000000009</c:v>
                </c:pt>
                <c:pt idx="58">
                  <c:v>0.11600000000000009</c:v>
                </c:pt>
                <c:pt idx="59">
                  <c:v>0.11800000000000009</c:v>
                </c:pt>
                <c:pt idx="60">
                  <c:v>0.12000000000000009</c:v>
                </c:pt>
                <c:pt idx="61">
                  <c:v>0.12200000000000009</c:v>
                </c:pt>
                <c:pt idx="62">
                  <c:v>0.1240000000000001</c:v>
                </c:pt>
                <c:pt idx="63">
                  <c:v>0.12600000000000008</c:v>
                </c:pt>
                <c:pt idx="64">
                  <c:v>0.12800000000000009</c:v>
                </c:pt>
                <c:pt idx="65">
                  <c:v>0.13000000000000009</c:v>
                </c:pt>
                <c:pt idx="66">
                  <c:v>0.13200000000000009</c:v>
                </c:pt>
                <c:pt idx="67">
                  <c:v>0.13400000000000009</c:v>
                </c:pt>
                <c:pt idx="68">
                  <c:v>0.13600000000000009</c:v>
                </c:pt>
                <c:pt idx="69">
                  <c:v>0.13800000000000009</c:v>
                </c:pt>
                <c:pt idx="70">
                  <c:v>0.1400000000000001</c:v>
                </c:pt>
                <c:pt idx="71">
                  <c:v>0.1420000000000001</c:v>
                </c:pt>
                <c:pt idx="72">
                  <c:v>0.1440000000000001</c:v>
                </c:pt>
                <c:pt idx="73">
                  <c:v>0.1460000000000001</c:v>
                </c:pt>
                <c:pt idx="74">
                  <c:v>0.1480000000000001</c:v>
                </c:pt>
                <c:pt idx="75">
                  <c:v>0.15000000000000011</c:v>
                </c:pt>
                <c:pt idx="76">
                  <c:v>0.15200000000000011</c:v>
                </c:pt>
                <c:pt idx="77">
                  <c:v>0.15400000000000011</c:v>
                </c:pt>
                <c:pt idx="78">
                  <c:v>0.15600000000000011</c:v>
                </c:pt>
                <c:pt idx="79">
                  <c:v>0.15800000000000011</c:v>
                </c:pt>
                <c:pt idx="80">
                  <c:v>0.16000000000000011</c:v>
                </c:pt>
                <c:pt idx="81">
                  <c:v>0.16200000000000012</c:v>
                </c:pt>
                <c:pt idx="82">
                  <c:v>0.16400000000000012</c:v>
                </c:pt>
                <c:pt idx="83">
                  <c:v>0.16600000000000012</c:v>
                </c:pt>
                <c:pt idx="84">
                  <c:v>0.16800000000000012</c:v>
                </c:pt>
                <c:pt idx="85">
                  <c:v>0.17000000000000012</c:v>
                </c:pt>
                <c:pt idx="86">
                  <c:v>0.17200000000000013</c:v>
                </c:pt>
                <c:pt idx="87">
                  <c:v>0.17400000000000013</c:v>
                </c:pt>
                <c:pt idx="88">
                  <c:v>0.17600000000000013</c:v>
                </c:pt>
                <c:pt idx="89">
                  <c:v>0.17800000000000013</c:v>
                </c:pt>
                <c:pt idx="90">
                  <c:v>0.18000000000000013</c:v>
                </c:pt>
                <c:pt idx="91">
                  <c:v>0.18200000000000013</c:v>
                </c:pt>
                <c:pt idx="92">
                  <c:v>0.18400000000000014</c:v>
                </c:pt>
                <c:pt idx="93">
                  <c:v>0.18600000000000014</c:v>
                </c:pt>
                <c:pt idx="94">
                  <c:v>0.18800000000000014</c:v>
                </c:pt>
                <c:pt idx="95">
                  <c:v>0.19000000000000014</c:v>
                </c:pt>
                <c:pt idx="96">
                  <c:v>0.19200000000000014</c:v>
                </c:pt>
                <c:pt idx="97">
                  <c:v>0.19400000000000014</c:v>
                </c:pt>
                <c:pt idx="98">
                  <c:v>0.19600000000000015</c:v>
                </c:pt>
                <c:pt idx="99">
                  <c:v>0.19800000000000015</c:v>
                </c:pt>
                <c:pt idx="100">
                  <c:v>0.20000000000000015</c:v>
                </c:pt>
              </c:numCache>
            </c:numRef>
          </c:xVal>
          <c:yVal>
            <c:numRef>
              <c:f>Räkn!$BC$15:$BC$115</c:f>
              <c:numCache>
                <c:formatCode>0.00</c:formatCode>
                <c:ptCount val="101"/>
                <c:pt idx="0">
                  <c:v>-45.506483293225834</c:v>
                </c:pt>
                <c:pt idx="1">
                  <c:v>-35.006580546422896</c:v>
                </c:pt>
                <c:pt idx="2">
                  <c:v>-20.153904788820803</c:v>
                </c:pt>
                <c:pt idx="3">
                  <c:v>-9.5482617321036614</c:v>
                </c:pt>
                <c:pt idx="4">
                  <c:v>-0.82421610638546305</c:v>
                </c:pt>
                <c:pt idx="5">
                  <c:v>16.813520854228976</c:v>
                </c:pt>
                <c:pt idx="6">
                  <c:v>24.333795706036867</c:v>
                </c:pt>
                <c:pt idx="7">
                  <c:v>33.212215091959997</c:v>
                </c:pt>
                <c:pt idx="8">
                  <c:v>46.686433702426406</c:v>
                </c:pt>
                <c:pt idx="9">
                  <c:v>58.667026086420449</c:v>
                </c:pt>
                <c:pt idx="10">
                  <c:v>70.710790890862967</c:v>
                </c:pt>
                <c:pt idx="11">
                  <c:v>79.243525636099932</c:v>
                </c:pt>
                <c:pt idx="12">
                  <c:v>89.080501955775446</c:v>
                </c:pt>
                <c:pt idx="13">
                  <c:v>97.800572200268235</c:v>
                </c:pt>
                <c:pt idx="14">
                  <c:v>100.07640598696399</c:v>
                </c:pt>
                <c:pt idx="15">
                  <c:v>105.91254910918185</c:v>
                </c:pt>
                <c:pt idx="16">
                  <c:v>116.17196612350676</c:v>
                </c:pt>
                <c:pt idx="17">
                  <c:v>117.4477643233965</c:v>
                </c:pt>
                <c:pt idx="18">
                  <c:v>123.10707759026766</c:v>
                </c:pt>
                <c:pt idx="19">
                  <c:v>125.06079289900049</c:v>
                </c:pt>
                <c:pt idx="20">
                  <c:v>122.53345288349149</c:v>
                </c:pt>
                <c:pt idx="21">
                  <c:v>121.02840454586303</c:v>
                </c:pt>
                <c:pt idx="22">
                  <c:v>119.53153273525045</c:v>
                </c:pt>
                <c:pt idx="23">
                  <c:v>117.82017039006875</c:v>
                </c:pt>
                <c:pt idx="24">
                  <c:v>113.7123182615458</c:v>
                </c:pt>
                <c:pt idx="25">
                  <c:v>104.20775254203132</c:v>
                </c:pt>
                <c:pt idx="26">
                  <c:v>100.2639596784818</c:v>
                </c:pt>
                <c:pt idx="27">
                  <c:v>93.361654522636243</c:v>
                </c:pt>
                <c:pt idx="28">
                  <c:v>79.402667171818464</c:v>
                </c:pt>
                <c:pt idx="29">
                  <c:v>72.533589012117616</c:v>
                </c:pt>
                <c:pt idx="30">
                  <c:v>64.272233582100782</c:v>
                </c:pt>
                <c:pt idx="31">
                  <c:v>50.636719771388812</c:v>
                </c:pt>
                <c:pt idx="32">
                  <c:v>42.500896008965753</c:v>
                </c:pt>
                <c:pt idx="33">
                  <c:v>30.877896196707457</c:v>
                </c:pt>
                <c:pt idx="34">
                  <c:v>19.424144751402174</c:v>
                </c:pt>
                <c:pt idx="35">
                  <c:v>8.2300031170239549</c:v>
                </c:pt>
                <c:pt idx="36">
                  <c:v>-3.0928751415148543</c:v>
                </c:pt>
                <c:pt idx="37">
                  <c:v>-18.579177465283369</c:v>
                </c:pt>
                <c:pt idx="38">
                  <c:v>-28.303159718466446</c:v>
                </c:pt>
                <c:pt idx="39">
                  <c:v>-38.065085081982886</c:v>
                </c:pt>
                <c:pt idx="40">
                  <c:v>-45.185052155222145</c:v>
                </c:pt>
                <c:pt idx="41">
                  <c:v>-55.770726456425578</c:v>
                </c:pt>
                <c:pt idx="42">
                  <c:v>-70.03548979678304</c:v>
                </c:pt>
                <c:pt idx="43">
                  <c:v>-75.753296013359716</c:v>
                </c:pt>
                <c:pt idx="44">
                  <c:v>-85.952652873608827</c:v>
                </c:pt>
                <c:pt idx="45">
                  <c:v>-96.277034665243178</c:v>
                </c:pt>
                <c:pt idx="46">
                  <c:v>-102.53677427194755</c:v>
                </c:pt>
                <c:pt idx="47">
                  <c:v>-104.09711872087264</c:v>
                </c:pt>
                <c:pt idx="48">
                  <c:v>-110.88628927407537</c:v>
                </c:pt>
                <c:pt idx="49">
                  <c:v>-113.81140054859824</c:v>
                </c:pt>
                <c:pt idx="50">
                  <c:v>-112.36522604617198</c:v>
                </c:pt>
                <c:pt idx="51">
                  <c:v>-115.74491013510527</c:v>
                </c:pt>
                <c:pt idx="52">
                  <c:v>-116.07341731526087</c:v>
                </c:pt>
                <c:pt idx="53">
                  <c:v>-113.24039197564403</c:v>
                </c:pt>
                <c:pt idx="54">
                  <c:v>-112.4175372401192</c:v>
                </c:pt>
                <c:pt idx="55">
                  <c:v>-106.35749644561434</c:v>
                </c:pt>
                <c:pt idx="56">
                  <c:v>-100.99057906717717</c:v>
                </c:pt>
                <c:pt idx="57">
                  <c:v>-93.357845771505751</c:v>
                </c:pt>
                <c:pt idx="58">
                  <c:v>-85.425827464903151</c:v>
                </c:pt>
                <c:pt idx="59">
                  <c:v>-78.194449808828566</c:v>
                </c:pt>
                <c:pt idx="60">
                  <c:v>-67.437175128900947</c:v>
                </c:pt>
                <c:pt idx="61">
                  <c:v>-57.623320416169449</c:v>
                </c:pt>
                <c:pt idx="62">
                  <c:v>-51.104840887470139</c:v>
                </c:pt>
                <c:pt idx="63">
                  <c:v>-38.1440317177086</c:v>
                </c:pt>
                <c:pt idx="64">
                  <c:v>-26.206751449304516</c:v>
                </c:pt>
                <c:pt idx="65">
                  <c:v>-17.331613089721888</c:v>
                </c:pt>
                <c:pt idx="66">
                  <c:v>-4.5275215805301334</c:v>
                </c:pt>
                <c:pt idx="67">
                  <c:v>4.3536751847276411</c:v>
                </c:pt>
                <c:pt idx="68">
                  <c:v>21.604114060020336</c:v>
                </c:pt>
                <c:pt idx="69">
                  <c:v>32.93381081355281</c:v>
                </c:pt>
                <c:pt idx="70">
                  <c:v>38.225051891231807</c:v>
                </c:pt>
                <c:pt idx="71">
                  <c:v>49.714610729895377</c:v>
                </c:pt>
                <c:pt idx="72">
                  <c:v>66.540227448505988</c:v>
                </c:pt>
                <c:pt idx="73">
                  <c:v>71.62489716285603</c:v>
                </c:pt>
                <c:pt idx="74">
                  <c:v>83.602777107550622</c:v>
                </c:pt>
                <c:pt idx="75">
                  <c:v>88.795972968905261</c:v>
                </c:pt>
                <c:pt idx="76">
                  <c:v>95.612230033513612</c:v>
                </c:pt>
                <c:pt idx="77">
                  <c:v>108.96774042986539</c:v>
                </c:pt>
                <c:pt idx="78">
                  <c:v>111.33380861329054</c:v>
                </c:pt>
                <c:pt idx="79">
                  <c:v>119.12682894999702</c:v>
                </c:pt>
                <c:pt idx="80">
                  <c:v>119.52159287759098</c:v>
                </c:pt>
                <c:pt idx="81">
                  <c:v>117.685057903607</c:v>
                </c:pt>
                <c:pt idx="82">
                  <c:v>120.08773753016871</c:v>
                </c:pt>
                <c:pt idx="83">
                  <c:v>124.89365941053251</c:v>
                </c:pt>
                <c:pt idx="84">
                  <c:v>120.99201141890427</c:v>
                </c:pt>
                <c:pt idx="85">
                  <c:v>114.68060364765377</c:v>
                </c:pt>
                <c:pt idx="86">
                  <c:v>113.58654182750743</c:v>
                </c:pt>
                <c:pt idx="87">
                  <c:v>105.92943435222617</c:v>
                </c:pt>
                <c:pt idx="88">
                  <c:v>105.10678328854934</c:v>
                </c:pt>
                <c:pt idx="89">
                  <c:v>95.743488624885757</c:v>
                </c:pt>
                <c:pt idx="90">
                  <c:v>89.991167476062387</c:v>
                </c:pt>
                <c:pt idx="91">
                  <c:v>75.950948162842877</c:v>
                </c:pt>
                <c:pt idx="92">
                  <c:v>72.245887296444295</c:v>
                </c:pt>
                <c:pt idx="93">
                  <c:v>58.519501061968192</c:v>
                </c:pt>
                <c:pt idx="94">
                  <c:v>50.795752317644443</c:v>
                </c:pt>
                <c:pt idx="95">
                  <c:v>40.918087525757294</c:v>
                </c:pt>
                <c:pt idx="96">
                  <c:v>22.936622574999305</c:v>
                </c:pt>
                <c:pt idx="97">
                  <c:v>12.648909823269559</c:v>
                </c:pt>
                <c:pt idx="98">
                  <c:v>-0.80888759098200669</c:v>
                </c:pt>
                <c:pt idx="99">
                  <c:v>-8.9269682542360265</c:v>
                </c:pt>
                <c:pt idx="100">
                  <c:v>-23.325410004145684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00-4DD0-8192-6525C507D0E3}"/>
            </c:ext>
          </c:extLst>
        </c:ser>
        <c:ser>
          <c:idx val="1"/>
          <c:order val="1"/>
          <c:tx>
            <c:strRef>
              <c:f>Räkn!$BD$14</c:f>
              <c:strCache>
                <c:ptCount val="1"/>
                <c:pt idx="0">
                  <c:v>Fas2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Räkn!$BA$15:$BA$115</c:f>
              <c:numCache>
                <c:formatCode>General</c:formatCode>
                <c:ptCount val="10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  <c:pt idx="51">
                  <c:v>0.10200000000000008</c:v>
                </c:pt>
                <c:pt idx="52">
                  <c:v>0.10400000000000008</c:v>
                </c:pt>
                <c:pt idx="53">
                  <c:v>0.10600000000000008</c:v>
                </c:pt>
                <c:pt idx="54">
                  <c:v>0.10800000000000008</c:v>
                </c:pt>
                <c:pt idx="55">
                  <c:v>0.11000000000000008</c:v>
                </c:pt>
                <c:pt idx="56">
                  <c:v>0.11200000000000009</c:v>
                </c:pt>
                <c:pt idx="57">
                  <c:v>0.11400000000000009</c:v>
                </c:pt>
                <c:pt idx="58">
                  <c:v>0.11600000000000009</c:v>
                </c:pt>
                <c:pt idx="59">
                  <c:v>0.11800000000000009</c:v>
                </c:pt>
                <c:pt idx="60">
                  <c:v>0.12000000000000009</c:v>
                </c:pt>
                <c:pt idx="61">
                  <c:v>0.12200000000000009</c:v>
                </c:pt>
                <c:pt idx="62">
                  <c:v>0.1240000000000001</c:v>
                </c:pt>
                <c:pt idx="63">
                  <c:v>0.12600000000000008</c:v>
                </c:pt>
                <c:pt idx="64">
                  <c:v>0.12800000000000009</c:v>
                </c:pt>
                <c:pt idx="65">
                  <c:v>0.13000000000000009</c:v>
                </c:pt>
                <c:pt idx="66">
                  <c:v>0.13200000000000009</c:v>
                </c:pt>
                <c:pt idx="67">
                  <c:v>0.13400000000000009</c:v>
                </c:pt>
                <c:pt idx="68">
                  <c:v>0.13600000000000009</c:v>
                </c:pt>
                <c:pt idx="69">
                  <c:v>0.13800000000000009</c:v>
                </c:pt>
                <c:pt idx="70">
                  <c:v>0.1400000000000001</c:v>
                </c:pt>
                <c:pt idx="71">
                  <c:v>0.1420000000000001</c:v>
                </c:pt>
                <c:pt idx="72">
                  <c:v>0.1440000000000001</c:v>
                </c:pt>
                <c:pt idx="73">
                  <c:v>0.1460000000000001</c:v>
                </c:pt>
                <c:pt idx="74">
                  <c:v>0.1480000000000001</c:v>
                </c:pt>
                <c:pt idx="75">
                  <c:v>0.15000000000000011</c:v>
                </c:pt>
                <c:pt idx="76">
                  <c:v>0.15200000000000011</c:v>
                </c:pt>
                <c:pt idx="77">
                  <c:v>0.15400000000000011</c:v>
                </c:pt>
                <c:pt idx="78">
                  <c:v>0.15600000000000011</c:v>
                </c:pt>
                <c:pt idx="79">
                  <c:v>0.15800000000000011</c:v>
                </c:pt>
                <c:pt idx="80">
                  <c:v>0.16000000000000011</c:v>
                </c:pt>
                <c:pt idx="81">
                  <c:v>0.16200000000000012</c:v>
                </c:pt>
                <c:pt idx="82">
                  <c:v>0.16400000000000012</c:v>
                </c:pt>
                <c:pt idx="83">
                  <c:v>0.16600000000000012</c:v>
                </c:pt>
                <c:pt idx="84">
                  <c:v>0.16800000000000012</c:v>
                </c:pt>
                <c:pt idx="85">
                  <c:v>0.17000000000000012</c:v>
                </c:pt>
                <c:pt idx="86">
                  <c:v>0.17200000000000013</c:v>
                </c:pt>
                <c:pt idx="87">
                  <c:v>0.17400000000000013</c:v>
                </c:pt>
                <c:pt idx="88">
                  <c:v>0.17600000000000013</c:v>
                </c:pt>
                <c:pt idx="89">
                  <c:v>0.17800000000000013</c:v>
                </c:pt>
                <c:pt idx="90">
                  <c:v>0.18000000000000013</c:v>
                </c:pt>
                <c:pt idx="91">
                  <c:v>0.18200000000000013</c:v>
                </c:pt>
                <c:pt idx="92">
                  <c:v>0.18400000000000014</c:v>
                </c:pt>
                <c:pt idx="93">
                  <c:v>0.18600000000000014</c:v>
                </c:pt>
                <c:pt idx="94">
                  <c:v>0.18800000000000014</c:v>
                </c:pt>
                <c:pt idx="95">
                  <c:v>0.19000000000000014</c:v>
                </c:pt>
                <c:pt idx="96">
                  <c:v>0.19200000000000014</c:v>
                </c:pt>
                <c:pt idx="97">
                  <c:v>0.19400000000000014</c:v>
                </c:pt>
                <c:pt idx="98">
                  <c:v>0.19600000000000015</c:v>
                </c:pt>
                <c:pt idx="99">
                  <c:v>0.19800000000000015</c:v>
                </c:pt>
                <c:pt idx="100">
                  <c:v>0.20000000000000015</c:v>
                </c:pt>
              </c:numCache>
            </c:numRef>
          </c:xVal>
          <c:yVal>
            <c:numRef>
              <c:f>Räkn!$BD$15:$BD$115</c:f>
              <c:numCache>
                <c:formatCode>0.00</c:formatCode>
                <c:ptCount val="101"/>
                <c:pt idx="0">
                  <c:v>92.65111612482707</c:v>
                </c:pt>
                <c:pt idx="1">
                  <c:v>91.143135260777299</c:v>
                </c:pt>
                <c:pt idx="2">
                  <c:v>86.21190668700649</c:v>
                </c:pt>
                <c:pt idx="3">
                  <c:v>86.933204152517007</c:v>
                </c:pt>
                <c:pt idx="4">
                  <c:v>80.191998835210143</c:v>
                </c:pt>
                <c:pt idx="5">
                  <c:v>74.892507029554736</c:v>
                </c:pt>
                <c:pt idx="6">
                  <c:v>72.1723845457919</c:v>
                </c:pt>
                <c:pt idx="7">
                  <c:v>62.771151685354468</c:v>
                </c:pt>
                <c:pt idx="8">
                  <c:v>54.489075101999859</c:v>
                </c:pt>
                <c:pt idx="9">
                  <c:v>43.347596711927281</c:v>
                </c:pt>
                <c:pt idx="10">
                  <c:v>38.700436946157659</c:v>
                </c:pt>
                <c:pt idx="11">
                  <c:v>26.282260493880141</c:v>
                </c:pt>
                <c:pt idx="12">
                  <c:v>15.981021221822674</c:v>
                </c:pt>
                <c:pt idx="13">
                  <c:v>5.552019541033383</c:v>
                </c:pt>
                <c:pt idx="14">
                  <c:v>-2.755545107896026</c:v>
                </c:pt>
                <c:pt idx="15">
                  <c:v>-12.489433911207335</c:v>
                </c:pt>
                <c:pt idx="16">
                  <c:v>-24.904543828047597</c:v>
                </c:pt>
                <c:pt idx="17">
                  <c:v>-33.851872061853058</c:v>
                </c:pt>
                <c:pt idx="18">
                  <c:v>-43.388994512402483</c:v>
                </c:pt>
                <c:pt idx="19">
                  <c:v>-49.596533893563496</c:v>
                </c:pt>
                <c:pt idx="20">
                  <c:v>-56.32458830110798</c:v>
                </c:pt>
                <c:pt idx="21">
                  <c:v>-60.737067826069264</c:v>
                </c:pt>
                <c:pt idx="22">
                  <c:v>-69.242972528711761</c:v>
                </c:pt>
                <c:pt idx="23">
                  <c:v>-72.257183796030347</c:v>
                </c:pt>
                <c:pt idx="24">
                  <c:v>-76.655998992061853</c:v>
                </c:pt>
                <c:pt idx="25">
                  <c:v>-81.292618060654661</c:v>
                </c:pt>
                <c:pt idx="26">
                  <c:v>-82.468077707975596</c:v>
                </c:pt>
                <c:pt idx="27">
                  <c:v>-83.427103667756157</c:v>
                </c:pt>
                <c:pt idx="28">
                  <c:v>-86.116245623073084</c:v>
                </c:pt>
                <c:pt idx="29">
                  <c:v>-85.667630502274747</c:v>
                </c:pt>
                <c:pt idx="30">
                  <c:v>-88.039953147066626</c:v>
                </c:pt>
                <c:pt idx="31">
                  <c:v>-86.995804211466549</c:v>
                </c:pt>
                <c:pt idx="32">
                  <c:v>-85.346959634998129</c:v>
                </c:pt>
                <c:pt idx="33">
                  <c:v>-83.544732914608105</c:v>
                </c:pt>
                <c:pt idx="34">
                  <c:v>-80.385875917566082</c:v>
                </c:pt>
                <c:pt idx="35">
                  <c:v>-75.436600826745774</c:v>
                </c:pt>
                <c:pt idx="36">
                  <c:v>-74.218895166925947</c:v>
                </c:pt>
                <c:pt idx="37">
                  <c:v>-68.418355195360419</c:v>
                </c:pt>
                <c:pt idx="38">
                  <c:v>-58.060528057083268</c:v>
                </c:pt>
                <c:pt idx="39">
                  <c:v>-52.856573742255904</c:v>
                </c:pt>
                <c:pt idx="40">
                  <c:v>-41.045998361614096</c:v>
                </c:pt>
                <c:pt idx="41">
                  <c:v>-33.181623493244857</c:v>
                </c:pt>
                <c:pt idx="42">
                  <c:v>-25.009664927112485</c:v>
                </c:pt>
                <c:pt idx="43">
                  <c:v>-16.642161667258776</c:v>
                </c:pt>
                <c:pt idx="44">
                  <c:v>-3.7752554325652499</c:v>
                </c:pt>
                <c:pt idx="45">
                  <c:v>5.6369572825367174</c:v>
                </c:pt>
                <c:pt idx="46">
                  <c:v>16.307415762394587</c:v>
                </c:pt>
                <c:pt idx="47">
                  <c:v>24.723220740878503</c:v>
                </c:pt>
                <c:pt idx="48">
                  <c:v>35.763791309745862</c:v>
                </c:pt>
                <c:pt idx="49">
                  <c:v>46.914882389460715</c:v>
                </c:pt>
                <c:pt idx="50">
                  <c:v>51.322186926229392</c:v>
                </c:pt>
                <c:pt idx="51">
                  <c:v>59.549641749838749</c:v>
                </c:pt>
                <c:pt idx="52">
                  <c:v>64.391150278675468</c:v>
                </c:pt>
                <c:pt idx="53">
                  <c:v>72.653607090480577</c:v>
                </c:pt>
                <c:pt idx="54">
                  <c:v>75.427516589584158</c:v>
                </c:pt>
                <c:pt idx="55">
                  <c:v>79.955141337390742</c:v>
                </c:pt>
                <c:pt idx="56">
                  <c:v>84.739866070907652</c:v>
                </c:pt>
                <c:pt idx="57">
                  <c:v>88.162257423393328</c:v>
                </c:pt>
                <c:pt idx="58">
                  <c:v>90.083527806848295</c:v>
                </c:pt>
                <c:pt idx="59">
                  <c:v>89.699275265095565</c:v>
                </c:pt>
                <c:pt idx="60">
                  <c:v>93.259470736614986</c:v>
                </c:pt>
                <c:pt idx="61">
                  <c:v>92.316932633607834</c:v>
                </c:pt>
                <c:pt idx="62">
                  <c:v>93.123242248601727</c:v>
                </c:pt>
                <c:pt idx="63">
                  <c:v>89.717801899218614</c:v>
                </c:pt>
                <c:pt idx="64">
                  <c:v>88.122023206096927</c:v>
                </c:pt>
                <c:pt idx="65">
                  <c:v>84.909543203066434</c:v>
                </c:pt>
                <c:pt idx="66">
                  <c:v>83.276719637640468</c:v>
                </c:pt>
                <c:pt idx="67">
                  <c:v>80.503164612122191</c:v>
                </c:pt>
                <c:pt idx="68">
                  <c:v>73.031020058590315</c:v>
                </c:pt>
                <c:pt idx="69">
                  <c:v>66.312238037105303</c:v>
                </c:pt>
                <c:pt idx="70">
                  <c:v>56.138719656020271</c:v>
                </c:pt>
                <c:pt idx="71">
                  <c:v>51.041761841679531</c:v>
                </c:pt>
                <c:pt idx="72">
                  <c:v>41.186874659906437</c:v>
                </c:pt>
                <c:pt idx="73">
                  <c:v>30.231011577679428</c:v>
                </c:pt>
                <c:pt idx="74">
                  <c:v>21.685614507689468</c:v>
                </c:pt>
                <c:pt idx="75">
                  <c:v>10.655802028615284</c:v>
                </c:pt>
                <c:pt idx="76">
                  <c:v>0.33232699722081604</c:v>
                </c:pt>
                <c:pt idx="77">
                  <c:v>-9.5648261717455085</c:v>
                </c:pt>
                <c:pt idx="78">
                  <c:v>-18.698371042815616</c:v>
                </c:pt>
                <c:pt idx="79">
                  <c:v>-29.237149023378059</c:v>
                </c:pt>
                <c:pt idx="80">
                  <c:v>-40.119506119498396</c:v>
                </c:pt>
                <c:pt idx="81">
                  <c:v>-44.817270495826477</c:v>
                </c:pt>
                <c:pt idx="82">
                  <c:v>-52.217499319540998</c:v>
                </c:pt>
                <c:pt idx="83">
                  <c:v>-57.523572828999512</c:v>
                </c:pt>
                <c:pt idx="84">
                  <c:v>-64.518860902271882</c:v>
                </c:pt>
                <c:pt idx="85">
                  <c:v>-71.70871294334431</c:v>
                </c:pt>
                <c:pt idx="86">
                  <c:v>-76.108366931881221</c:v>
                </c:pt>
                <c:pt idx="87">
                  <c:v>-80.486875511612411</c:v>
                </c:pt>
                <c:pt idx="88">
                  <c:v>-82.286432111881695</c:v>
                </c:pt>
                <c:pt idx="89">
                  <c:v>-81.462502894422514</c:v>
                </c:pt>
                <c:pt idx="90">
                  <c:v>-86.61365162235532</c:v>
                </c:pt>
                <c:pt idx="91">
                  <c:v>-85.889897615907202</c:v>
                </c:pt>
                <c:pt idx="92">
                  <c:v>-85.764073024649335</c:v>
                </c:pt>
                <c:pt idx="93">
                  <c:v>-85.366575044184543</c:v>
                </c:pt>
                <c:pt idx="94">
                  <c:v>-86.396473517860045</c:v>
                </c:pt>
                <c:pt idx="95">
                  <c:v>-87.024474006183297</c:v>
                </c:pt>
                <c:pt idx="96">
                  <c:v>-83.964926664112028</c:v>
                </c:pt>
                <c:pt idx="97">
                  <c:v>-80.276165375738273</c:v>
                </c:pt>
                <c:pt idx="98">
                  <c:v>-72.690159645213711</c:v>
                </c:pt>
                <c:pt idx="99">
                  <c:v>-69.292853742204784</c:v>
                </c:pt>
                <c:pt idx="100">
                  <c:v>-65.367902487016906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00-4DD0-8192-6525C507D0E3}"/>
            </c:ext>
          </c:extLst>
        </c:ser>
        <c:ser>
          <c:idx val="2"/>
          <c:order val="2"/>
          <c:tx>
            <c:strRef>
              <c:f>Räkn!$BE$14</c:f>
              <c:strCache>
                <c:ptCount val="1"/>
                <c:pt idx="0">
                  <c:v>Fas3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Räkn!$BA$15:$BA$115</c:f>
              <c:numCache>
                <c:formatCode>General</c:formatCode>
                <c:ptCount val="10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  <c:pt idx="51">
                  <c:v>0.10200000000000008</c:v>
                </c:pt>
                <c:pt idx="52">
                  <c:v>0.10400000000000008</c:v>
                </c:pt>
                <c:pt idx="53">
                  <c:v>0.10600000000000008</c:v>
                </c:pt>
                <c:pt idx="54">
                  <c:v>0.10800000000000008</c:v>
                </c:pt>
                <c:pt idx="55">
                  <c:v>0.11000000000000008</c:v>
                </c:pt>
                <c:pt idx="56">
                  <c:v>0.11200000000000009</c:v>
                </c:pt>
                <c:pt idx="57">
                  <c:v>0.11400000000000009</c:v>
                </c:pt>
                <c:pt idx="58">
                  <c:v>0.11600000000000009</c:v>
                </c:pt>
                <c:pt idx="59">
                  <c:v>0.11800000000000009</c:v>
                </c:pt>
                <c:pt idx="60">
                  <c:v>0.12000000000000009</c:v>
                </c:pt>
                <c:pt idx="61">
                  <c:v>0.12200000000000009</c:v>
                </c:pt>
                <c:pt idx="62">
                  <c:v>0.1240000000000001</c:v>
                </c:pt>
                <c:pt idx="63">
                  <c:v>0.12600000000000008</c:v>
                </c:pt>
                <c:pt idx="64">
                  <c:v>0.12800000000000009</c:v>
                </c:pt>
                <c:pt idx="65">
                  <c:v>0.13000000000000009</c:v>
                </c:pt>
                <c:pt idx="66">
                  <c:v>0.13200000000000009</c:v>
                </c:pt>
                <c:pt idx="67">
                  <c:v>0.13400000000000009</c:v>
                </c:pt>
                <c:pt idx="68">
                  <c:v>0.13600000000000009</c:v>
                </c:pt>
                <c:pt idx="69">
                  <c:v>0.13800000000000009</c:v>
                </c:pt>
                <c:pt idx="70">
                  <c:v>0.1400000000000001</c:v>
                </c:pt>
                <c:pt idx="71">
                  <c:v>0.1420000000000001</c:v>
                </c:pt>
                <c:pt idx="72">
                  <c:v>0.1440000000000001</c:v>
                </c:pt>
                <c:pt idx="73">
                  <c:v>0.1460000000000001</c:v>
                </c:pt>
                <c:pt idx="74">
                  <c:v>0.1480000000000001</c:v>
                </c:pt>
                <c:pt idx="75">
                  <c:v>0.15000000000000011</c:v>
                </c:pt>
                <c:pt idx="76">
                  <c:v>0.15200000000000011</c:v>
                </c:pt>
                <c:pt idx="77">
                  <c:v>0.15400000000000011</c:v>
                </c:pt>
                <c:pt idx="78">
                  <c:v>0.15600000000000011</c:v>
                </c:pt>
                <c:pt idx="79">
                  <c:v>0.15800000000000011</c:v>
                </c:pt>
                <c:pt idx="80">
                  <c:v>0.16000000000000011</c:v>
                </c:pt>
                <c:pt idx="81">
                  <c:v>0.16200000000000012</c:v>
                </c:pt>
                <c:pt idx="82">
                  <c:v>0.16400000000000012</c:v>
                </c:pt>
                <c:pt idx="83">
                  <c:v>0.16600000000000012</c:v>
                </c:pt>
                <c:pt idx="84">
                  <c:v>0.16800000000000012</c:v>
                </c:pt>
                <c:pt idx="85">
                  <c:v>0.17000000000000012</c:v>
                </c:pt>
                <c:pt idx="86">
                  <c:v>0.17200000000000013</c:v>
                </c:pt>
                <c:pt idx="87">
                  <c:v>0.17400000000000013</c:v>
                </c:pt>
                <c:pt idx="88">
                  <c:v>0.17600000000000013</c:v>
                </c:pt>
                <c:pt idx="89">
                  <c:v>0.17800000000000013</c:v>
                </c:pt>
                <c:pt idx="90">
                  <c:v>0.18000000000000013</c:v>
                </c:pt>
                <c:pt idx="91">
                  <c:v>0.18200000000000013</c:v>
                </c:pt>
                <c:pt idx="92">
                  <c:v>0.18400000000000014</c:v>
                </c:pt>
                <c:pt idx="93">
                  <c:v>0.18600000000000014</c:v>
                </c:pt>
                <c:pt idx="94">
                  <c:v>0.18800000000000014</c:v>
                </c:pt>
                <c:pt idx="95">
                  <c:v>0.19000000000000014</c:v>
                </c:pt>
                <c:pt idx="96">
                  <c:v>0.19200000000000014</c:v>
                </c:pt>
                <c:pt idx="97">
                  <c:v>0.19400000000000014</c:v>
                </c:pt>
                <c:pt idx="98">
                  <c:v>0.19600000000000015</c:v>
                </c:pt>
                <c:pt idx="99">
                  <c:v>0.19800000000000015</c:v>
                </c:pt>
                <c:pt idx="100">
                  <c:v>0.20000000000000015</c:v>
                </c:pt>
              </c:numCache>
            </c:numRef>
          </c:xVal>
          <c:yVal>
            <c:numRef>
              <c:f>Räkn!$BE$15:$BE$115</c:f>
              <c:numCache>
                <c:formatCode>General</c:formatCode>
                <c:ptCount val="101"/>
                <c:pt idx="0">
                  <c:v>-59.338127258683258</c:v>
                </c:pt>
                <c:pt idx="1">
                  <c:v>-70.743118243994857</c:v>
                </c:pt>
                <c:pt idx="2">
                  <c:v>-79.625800358618989</c:v>
                </c:pt>
                <c:pt idx="3">
                  <c:v>-83.288013473914276</c:v>
                </c:pt>
                <c:pt idx="4">
                  <c:v>-96.663098871779738</c:v>
                </c:pt>
                <c:pt idx="5">
                  <c:v>-103.75886485301557</c:v>
                </c:pt>
                <c:pt idx="6">
                  <c:v>-106.64203681614916</c:v>
                </c:pt>
                <c:pt idx="7">
                  <c:v>-113.38401386500318</c:v>
                </c:pt>
                <c:pt idx="8">
                  <c:v>-121.71174693018142</c:v>
                </c:pt>
                <c:pt idx="9">
                  <c:v>-124.25220620928837</c:v>
                </c:pt>
                <c:pt idx="10">
                  <c:v>-124.37029434046671</c:v>
                </c:pt>
                <c:pt idx="11">
                  <c:v>-123.37236085731067</c:v>
                </c:pt>
                <c:pt idx="12">
                  <c:v>-123.60382329026503</c:v>
                </c:pt>
                <c:pt idx="13">
                  <c:v>-126.15658552454474</c:v>
                </c:pt>
                <c:pt idx="14">
                  <c:v>-117.84929086771261</c:v>
                </c:pt>
                <c:pt idx="15">
                  <c:v>-115.66696616719521</c:v>
                </c:pt>
                <c:pt idx="16">
                  <c:v>-106.1596169887713</c:v>
                </c:pt>
                <c:pt idx="17">
                  <c:v>-96.131364960166891</c:v>
                </c:pt>
                <c:pt idx="18">
                  <c:v>-91.197674259090405</c:v>
                </c:pt>
                <c:pt idx="19">
                  <c:v>-79.509837827760535</c:v>
                </c:pt>
                <c:pt idx="20">
                  <c:v>-71.897578547569012</c:v>
                </c:pt>
                <c:pt idx="21">
                  <c:v>-63.127386705172363</c:v>
                </c:pt>
                <c:pt idx="22">
                  <c:v>-50.595033799447414</c:v>
                </c:pt>
                <c:pt idx="23">
                  <c:v>-34.962266227130769</c:v>
                </c:pt>
                <c:pt idx="24">
                  <c:v>-20.70701658839409</c:v>
                </c:pt>
                <c:pt idx="25">
                  <c:v>-10.924604931838433</c:v>
                </c:pt>
                <c:pt idx="26">
                  <c:v>2.4870211909520701</c:v>
                </c:pt>
                <c:pt idx="27">
                  <c:v>15.284463415848624</c:v>
                </c:pt>
                <c:pt idx="28">
                  <c:v>31.331678958417214</c:v>
                </c:pt>
                <c:pt idx="29">
                  <c:v>36.311918935349766</c:v>
                </c:pt>
                <c:pt idx="30">
                  <c:v>54.095689637163829</c:v>
                </c:pt>
                <c:pt idx="31">
                  <c:v>60.521163102789444</c:v>
                </c:pt>
                <c:pt idx="32">
                  <c:v>71.8328440879731</c:v>
                </c:pt>
                <c:pt idx="33">
                  <c:v>85.575324272044583</c:v>
                </c:pt>
                <c:pt idx="34">
                  <c:v>93.864514196149955</c:v>
                </c:pt>
                <c:pt idx="35">
                  <c:v>99.928395831063042</c:v>
                </c:pt>
                <c:pt idx="36">
                  <c:v>106.07928921933348</c:v>
                </c:pt>
                <c:pt idx="37">
                  <c:v>117.60071556116168</c:v>
                </c:pt>
                <c:pt idx="38">
                  <c:v>124.86814892461844</c:v>
                </c:pt>
                <c:pt idx="39">
                  <c:v>124.85628286852959</c:v>
                </c:pt>
                <c:pt idx="40">
                  <c:v>132.7655612478404</c:v>
                </c:pt>
                <c:pt idx="41">
                  <c:v>133.41725957177979</c:v>
                </c:pt>
                <c:pt idx="42">
                  <c:v>137.36520461767967</c:v>
                </c:pt>
                <c:pt idx="43">
                  <c:v>131.9182780613676</c:v>
                </c:pt>
                <c:pt idx="44">
                  <c:v>129.44076677226795</c:v>
                </c:pt>
                <c:pt idx="45">
                  <c:v>127.90474398132828</c:v>
                </c:pt>
                <c:pt idx="46">
                  <c:v>126.48706450747925</c:v>
                </c:pt>
                <c:pt idx="47">
                  <c:v>117.1106145633412</c:v>
                </c:pt>
                <c:pt idx="48">
                  <c:v>107.63436580531371</c:v>
                </c:pt>
                <c:pt idx="49">
                  <c:v>103.8184620415884</c:v>
                </c:pt>
                <c:pt idx="50">
                  <c:v>94.30186734633223</c:v>
                </c:pt>
                <c:pt idx="51">
                  <c:v>78.11479201653097</c:v>
                </c:pt>
                <c:pt idx="52">
                  <c:v>67.43024601320576</c:v>
                </c:pt>
                <c:pt idx="53">
                  <c:v>60.615482282028097</c:v>
                </c:pt>
                <c:pt idx="54">
                  <c:v>44.85539369160086</c:v>
                </c:pt>
                <c:pt idx="55">
                  <c:v>37.218260625689894</c:v>
                </c:pt>
                <c:pt idx="56">
                  <c:v>19.562755675446109</c:v>
                </c:pt>
                <c:pt idx="57">
                  <c:v>7.2279144168793605</c:v>
                </c:pt>
                <c:pt idx="58">
                  <c:v>-7.8703581526397715</c:v>
                </c:pt>
                <c:pt idx="59">
                  <c:v>-20.40278412983178</c:v>
                </c:pt>
                <c:pt idx="60">
                  <c:v>-30.997019219062135</c:v>
                </c:pt>
                <c:pt idx="61">
                  <c:v>-38.86493145834698</c:v>
                </c:pt>
                <c:pt idx="62">
                  <c:v>-51.09461183975754</c:v>
                </c:pt>
                <c:pt idx="63">
                  <c:v>-63.455549847089188</c:v>
                </c:pt>
                <c:pt idx="64">
                  <c:v>-74.981757554016255</c:v>
                </c:pt>
                <c:pt idx="65">
                  <c:v>-81.671657861055223</c:v>
                </c:pt>
                <c:pt idx="66">
                  <c:v>-94.623831538048023</c:v>
                </c:pt>
                <c:pt idx="67">
                  <c:v>-101.27092233770378</c:v>
                </c:pt>
                <c:pt idx="68">
                  <c:v>-108.81904796038638</c:v>
                </c:pt>
                <c:pt idx="69">
                  <c:v>-114.89928742957599</c:v>
                </c:pt>
                <c:pt idx="70">
                  <c:v>-116.69204451164315</c:v>
                </c:pt>
                <c:pt idx="71">
                  <c:v>-120.87603079512202</c:v>
                </c:pt>
                <c:pt idx="72">
                  <c:v>-123.77321186583031</c:v>
                </c:pt>
                <c:pt idx="73">
                  <c:v>-127.24277941056289</c:v>
                </c:pt>
                <c:pt idx="74">
                  <c:v>-123.32932576826616</c:v>
                </c:pt>
                <c:pt idx="75">
                  <c:v>-127.81156979553626</c:v>
                </c:pt>
                <c:pt idx="76">
                  <c:v>-123.78497366654801</c:v>
                </c:pt>
                <c:pt idx="77">
                  <c:v>-115.5834839415775</c:v>
                </c:pt>
                <c:pt idx="78">
                  <c:v>-113.20306823861924</c:v>
                </c:pt>
                <c:pt idx="79">
                  <c:v>-105.22265660673979</c:v>
                </c:pt>
                <c:pt idx="80">
                  <c:v>-94.097396401384685</c:v>
                </c:pt>
                <c:pt idx="81">
                  <c:v>-88.732521706060965</c:v>
                </c:pt>
                <c:pt idx="82">
                  <c:v>-72.477729870507602</c:v>
                </c:pt>
                <c:pt idx="83">
                  <c:v>-65.712505027836855</c:v>
                </c:pt>
                <c:pt idx="84">
                  <c:v>-50.297014743175616</c:v>
                </c:pt>
                <c:pt idx="85">
                  <c:v>-43.529537070073047</c:v>
                </c:pt>
                <c:pt idx="86">
                  <c:v>-30.912335982448322</c:v>
                </c:pt>
                <c:pt idx="87">
                  <c:v>-14.446680885463008</c:v>
                </c:pt>
                <c:pt idx="88">
                  <c:v>-5.7906728425919622</c:v>
                </c:pt>
                <c:pt idx="89">
                  <c:v>8.4806771372651166</c:v>
                </c:pt>
                <c:pt idx="90">
                  <c:v>24.127927133912706</c:v>
                </c:pt>
                <c:pt idx="91">
                  <c:v>36.820342318946317</c:v>
                </c:pt>
                <c:pt idx="92">
                  <c:v>42.090627953211843</c:v>
                </c:pt>
                <c:pt idx="93">
                  <c:v>56.670585471105248</c:v>
                </c:pt>
                <c:pt idx="94">
                  <c:v>68.356355579011932</c:v>
                </c:pt>
                <c:pt idx="95">
                  <c:v>77.136905061346297</c:v>
                </c:pt>
                <c:pt idx="96">
                  <c:v>85.745218403663046</c:v>
                </c:pt>
                <c:pt idx="97">
                  <c:v>94.368227014522759</c:v>
                </c:pt>
                <c:pt idx="98">
                  <c:v>104.5960883817141</c:v>
                </c:pt>
                <c:pt idx="99">
                  <c:v>110.23707789903175</c:v>
                </c:pt>
                <c:pt idx="100">
                  <c:v>115.48467026310146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800-4DD0-8192-6525C507D0E3}"/>
            </c:ext>
          </c:extLst>
        </c:ser>
        <c:ser>
          <c:idx val="3"/>
          <c:order val="3"/>
          <c:tx>
            <c:strRef>
              <c:f>Räkn!$BF$14</c:f>
              <c:strCache>
                <c:ptCount val="1"/>
                <c:pt idx="0">
                  <c:v>Fas4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Räkn!$BA$15:$BA$115</c:f>
              <c:numCache>
                <c:formatCode>General</c:formatCode>
                <c:ptCount val="10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  <c:pt idx="51">
                  <c:v>0.10200000000000008</c:v>
                </c:pt>
                <c:pt idx="52">
                  <c:v>0.10400000000000008</c:v>
                </c:pt>
                <c:pt idx="53">
                  <c:v>0.10600000000000008</c:v>
                </c:pt>
                <c:pt idx="54">
                  <c:v>0.10800000000000008</c:v>
                </c:pt>
                <c:pt idx="55">
                  <c:v>0.11000000000000008</c:v>
                </c:pt>
                <c:pt idx="56">
                  <c:v>0.11200000000000009</c:v>
                </c:pt>
                <c:pt idx="57">
                  <c:v>0.11400000000000009</c:v>
                </c:pt>
                <c:pt idx="58">
                  <c:v>0.11600000000000009</c:v>
                </c:pt>
                <c:pt idx="59">
                  <c:v>0.11800000000000009</c:v>
                </c:pt>
                <c:pt idx="60">
                  <c:v>0.12000000000000009</c:v>
                </c:pt>
                <c:pt idx="61">
                  <c:v>0.12200000000000009</c:v>
                </c:pt>
                <c:pt idx="62">
                  <c:v>0.1240000000000001</c:v>
                </c:pt>
                <c:pt idx="63">
                  <c:v>0.12600000000000008</c:v>
                </c:pt>
                <c:pt idx="64">
                  <c:v>0.12800000000000009</c:v>
                </c:pt>
                <c:pt idx="65">
                  <c:v>0.13000000000000009</c:v>
                </c:pt>
                <c:pt idx="66">
                  <c:v>0.13200000000000009</c:v>
                </c:pt>
                <c:pt idx="67">
                  <c:v>0.13400000000000009</c:v>
                </c:pt>
                <c:pt idx="68">
                  <c:v>0.13600000000000009</c:v>
                </c:pt>
                <c:pt idx="69">
                  <c:v>0.13800000000000009</c:v>
                </c:pt>
                <c:pt idx="70">
                  <c:v>0.1400000000000001</c:v>
                </c:pt>
                <c:pt idx="71">
                  <c:v>0.1420000000000001</c:v>
                </c:pt>
                <c:pt idx="72">
                  <c:v>0.1440000000000001</c:v>
                </c:pt>
                <c:pt idx="73">
                  <c:v>0.1460000000000001</c:v>
                </c:pt>
                <c:pt idx="74">
                  <c:v>0.1480000000000001</c:v>
                </c:pt>
                <c:pt idx="75">
                  <c:v>0.15000000000000011</c:v>
                </c:pt>
                <c:pt idx="76">
                  <c:v>0.15200000000000011</c:v>
                </c:pt>
                <c:pt idx="77">
                  <c:v>0.15400000000000011</c:v>
                </c:pt>
                <c:pt idx="78">
                  <c:v>0.15600000000000011</c:v>
                </c:pt>
                <c:pt idx="79">
                  <c:v>0.15800000000000011</c:v>
                </c:pt>
                <c:pt idx="80">
                  <c:v>0.16000000000000011</c:v>
                </c:pt>
                <c:pt idx="81">
                  <c:v>0.16200000000000012</c:v>
                </c:pt>
                <c:pt idx="82">
                  <c:v>0.16400000000000012</c:v>
                </c:pt>
                <c:pt idx="83">
                  <c:v>0.16600000000000012</c:v>
                </c:pt>
                <c:pt idx="84">
                  <c:v>0.16800000000000012</c:v>
                </c:pt>
                <c:pt idx="85">
                  <c:v>0.17000000000000012</c:v>
                </c:pt>
                <c:pt idx="86">
                  <c:v>0.17200000000000013</c:v>
                </c:pt>
                <c:pt idx="87">
                  <c:v>0.17400000000000013</c:v>
                </c:pt>
                <c:pt idx="88">
                  <c:v>0.17600000000000013</c:v>
                </c:pt>
                <c:pt idx="89">
                  <c:v>0.17800000000000013</c:v>
                </c:pt>
                <c:pt idx="90">
                  <c:v>0.18000000000000013</c:v>
                </c:pt>
                <c:pt idx="91">
                  <c:v>0.18200000000000013</c:v>
                </c:pt>
                <c:pt idx="92">
                  <c:v>0.18400000000000014</c:v>
                </c:pt>
                <c:pt idx="93">
                  <c:v>0.18600000000000014</c:v>
                </c:pt>
                <c:pt idx="94">
                  <c:v>0.18800000000000014</c:v>
                </c:pt>
                <c:pt idx="95">
                  <c:v>0.19000000000000014</c:v>
                </c:pt>
                <c:pt idx="96">
                  <c:v>0.19200000000000014</c:v>
                </c:pt>
                <c:pt idx="97">
                  <c:v>0.19400000000000014</c:v>
                </c:pt>
                <c:pt idx="98">
                  <c:v>0.19600000000000015</c:v>
                </c:pt>
                <c:pt idx="99">
                  <c:v>0.19800000000000015</c:v>
                </c:pt>
                <c:pt idx="100">
                  <c:v>0.20000000000000015</c:v>
                </c:pt>
              </c:numCache>
            </c:numRef>
          </c:xVal>
          <c:yVal>
            <c:numRef>
              <c:f>Räkn!$BF$15:$BF$115</c:f>
              <c:numCache>
                <c:formatCode>General</c:formatCode>
                <c:ptCount val="101"/>
                <c:pt idx="0">
                  <c:v>-7.5382635798886284</c:v>
                </c:pt>
                <c:pt idx="1">
                  <c:v>-8.122254763337839</c:v>
                </c:pt>
                <c:pt idx="2">
                  <c:v>-10.642837671633396</c:v>
                </c:pt>
                <c:pt idx="3">
                  <c:v>-11.474219309713545</c:v>
                </c:pt>
                <c:pt idx="4">
                  <c:v>-12.13738012055931</c:v>
                </c:pt>
                <c:pt idx="5">
                  <c:v>-14.464283133744102</c:v>
                </c:pt>
                <c:pt idx="6">
                  <c:v>-15.779551356694782</c:v>
                </c:pt>
                <c:pt idx="7">
                  <c:v>-16.36591917976957</c:v>
                </c:pt>
                <c:pt idx="8">
                  <c:v>-16.917993605201115</c:v>
                </c:pt>
                <c:pt idx="9">
                  <c:v>-18.084799468589551</c:v>
                </c:pt>
                <c:pt idx="10">
                  <c:v>-18.794359695795748</c:v>
                </c:pt>
                <c:pt idx="11">
                  <c:v>-17.658915960754886</c:v>
                </c:pt>
                <c:pt idx="12">
                  <c:v>-16.67899295923695</c:v>
                </c:pt>
                <c:pt idx="13">
                  <c:v>-16.394054014221837</c:v>
                </c:pt>
                <c:pt idx="14">
                  <c:v>-14.654513251258662</c:v>
                </c:pt>
                <c:pt idx="15">
                  <c:v>-13.811256323558755</c:v>
                </c:pt>
                <c:pt idx="16">
                  <c:v>-11.961993139298018</c:v>
                </c:pt>
                <c:pt idx="17">
                  <c:v>-11.760200739588225</c:v>
                </c:pt>
                <c:pt idx="18">
                  <c:v>-9.875040472157691</c:v>
                </c:pt>
                <c:pt idx="19">
                  <c:v>-7.9343222249701064</c:v>
                </c:pt>
                <c:pt idx="20">
                  <c:v>-7.0462073780386607</c:v>
                </c:pt>
                <c:pt idx="21">
                  <c:v>-5.3923739129475035</c:v>
                </c:pt>
                <c:pt idx="22">
                  <c:v>-3.7015929749804926</c:v>
                </c:pt>
                <c:pt idx="23">
                  <c:v>-1.7942857333176205</c:v>
                </c:pt>
                <c:pt idx="24">
                  <c:v>-1.5684792531624145</c:v>
                </c:pt>
                <c:pt idx="25">
                  <c:v>-0.52650553471842931</c:v>
                </c:pt>
                <c:pt idx="26">
                  <c:v>1.3605829602226529</c:v>
                </c:pt>
                <c:pt idx="27">
                  <c:v>1.9433471276550323</c:v>
                </c:pt>
                <c:pt idx="28">
                  <c:v>3.2955478236775138</c:v>
                </c:pt>
                <c:pt idx="29">
                  <c:v>4.7403893146886968</c:v>
                </c:pt>
                <c:pt idx="30">
                  <c:v>5.8993181550085607</c:v>
                </c:pt>
                <c:pt idx="31">
                  <c:v>8.0417578838835606</c:v>
                </c:pt>
                <c:pt idx="32">
                  <c:v>10.002766069490868</c:v>
                </c:pt>
                <c:pt idx="33">
                  <c:v>10.858812228797039</c:v>
                </c:pt>
                <c:pt idx="34">
                  <c:v>12.084390535651478</c:v>
                </c:pt>
                <c:pt idx="35">
                  <c:v>13.698721055305167</c:v>
                </c:pt>
                <c:pt idx="36">
                  <c:v>15.493279752464126</c:v>
                </c:pt>
                <c:pt idx="37">
                  <c:v>16.203689751153966</c:v>
                </c:pt>
                <c:pt idx="38">
                  <c:v>17.333288264636018</c:v>
                </c:pt>
                <c:pt idx="39">
                  <c:v>18.06656744572625</c:v>
                </c:pt>
                <c:pt idx="40">
                  <c:v>19.486156211444047</c:v>
                </c:pt>
                <c:pt idx="41">
                  <c:v>19.012400922809867</c:v>
                </c:pt>
                <c:pt idx="42">
                  <c:v>19.528109093308416</c:v>
                </c:pt>
                <c:pt idx="43">
                  <c:v>19.236687024200513</c:v>
                </c:pt>
                <c:pt idx="44">
                  <c:v>17.15026691389507</c:v>
                </c:pt>
                <c:pt idx="45">
                  <c:v>16.627333162685257</c:v>
                </c:pt>
                <c:pt idx="46">
                  <c:v>15.226910893888132</c:v>
                </c:pt>
                <c:pt idx="47">
                  <c:v>14.152681503084368</c:v>
                </c:pt>
                <c:pt idx="48">
                  <c:v>12.966243094372869</c:v>
                </c:pt>
                <c:pt idx="49">
                  <c:v>11.402702599748823</c:v>
                </c:pt>
                <c:pt idx="50">
                  <c:v>9.2869332751532276</c:v>
                </c:pt>
                <c:pt idx="51">
                  <c:v>8.6592905420428448</c:v>
                </c:pt>
                <c:pt idx="52">
                  <c:v>6.1415201045902927</c:v>
                </c:pt>
                <c:pt idx="53">
                  <c:v>5.3562998454627504</c:v>
                </c:pt>
                <c:pt idx="54">
                  <c:v>3.5936545879178143</c:v>
                </c:pt>
                <c:pt idx="55">
                  <c:v>2.3602664037880947</c:v>
                </c:pt>
                <c:pt idx="56">
                  <c:v>1.0418830205092264</c:v>
                </c:pt>
                <c:pt idx="57">
                  <c:v>0.68074298135306011</c:v>
                </c:pt>
                <c:pt idx="58">
                  <c:v>-0.28159122993697316</c:v>
                </c:pt>
                <c:pt idx="59">
                  <c:v>-1.7496726333367092</c:v>
                </c:pt>
                <c:pt idx="60">
                  <c:v>-3.6700028998912151</c:v>
                </c:pt>
                <c:pt idx="61">
                  <c:v>-4.7882288666055457</c:v>
                </c:pt>
                <c:pt idx="62">
                  <c:v>-6.7252283269191668</c:v>
                </c:pt>
                <c:pt idx="63">
                  <c:v>-8.2968155298653876</c:v>
                </c:pt>
                <c:pt idx="64">
                  <c:v>-9.8997438999766914</c:v>
                </c:pt>
                <c:pt idx="65">
                  <c:v>-11.197234044462011</c:v>
                </c:pt>
                <c:pt idx="66">
                  <c:v>-12.608897703767827</c:v>
                </c:pt>
                <c:pt idx="67">
                  <c:v>-13.289417481025488</c:v>
                </c:pt>
                <c:pt idx="68">
                  <c:v>-14.862775348905908</c:v>
                </c:pt>
                <c:pt idx="69">
                  <c:v>-15.710929457641162</c:v>
                </c:pt>
                <c:pt idx="70">
                  <c:v>-16.685462275223021</c:v>
                </c:pt>
                <c:pt idx="71">
                  <c:v>-17.346099788626386</c:v>
                </c:pt>
                <c:pt idx="72">
                  <c:v>-17.615171859906468</c:v>
                </c:pt>
                <c:pt idx="73">
                  <c:v>-18.150317723123322</c:v>
                </c:pt>
                <c:pt idx="74">
                  <c:v>-18.236098516814433</c:v>
                </c:pt>
                <c:pt idx="75">
                  <c:v>-17.301844420943493</c:v>
                </c:pt>
                <c:pt idx="76">
                  <c:v>-15.281482319732136</c:v>
                </c:pt>
                <c:pt idx="77">
                  <c:v>-14.512560136217619</c:v>
                </c:pt>
                <c:pt idx="78">
                  <c:v>-13.005510428628629</c:v>
                </c:pt>
                <c:pt idx="79">
                  <c:v>-11.840095380441914</c:v>
                </c:pt>
                <c:pt idx="80">
                  <c:v>-10.846534692830222</c:v>
                </c:pt>
                <c:pt idx="81">
                  <c:v>-9.3063430294843172</c:v>
                </c:pt>
                <c:pt idx="82">
                  <c:v>-6.8071009053834821</c:v>
                </c:pt>
                <c:pt idx="83">
                  <c:v>-5.8215136911986614</c:v>
                </c:pt>
                <c:pt idx="84">
                  <c:v>-3.7994921870749927</c:v>
                </c:pt>
                <c:pt idx="85">
                  <c:v>-2.8234050201031273</c:v>
                </c:pt>
                <c:pt idx="86">
                  <c:v>-1.9398335322224063</c:v>
                </c:pt>
                <c:pt idx="87">
                  <c:v>-0.31465893741020878</c:v>
                </c:pt>
                <c:pt idx="88">
                  <c:v>0.90081702271755781</c:v>
                </c:pt>
                <c:pt idx="89">
                  <c:v>1.5854267845803864</c:v>
                </c:pt>
                <c:pt idx="90">
                  <c:v>3.1520626017052531</c:v>
                </c:pt>
                <c:pt idx="91">
                  <c:v>3.6513237404043677</c:v>
                </c:pt>
                <c:pt idx="92">
                  <c:v>5.0881605731345791</c:v>
                </c:pt>
                <c:pt idx="93">
                  <c:v>7.5224645264788226</c:v>
                </c:pt>
                <c:pt idx="94">
                  <c:v>9.1258155872294271</c:v>
                </c:pt>
                <c:pt idx="95">
                  <c:v>10.689940286358015</c:v>
                </c:pt>
                <c:pt idx="96">
                  <c:v>11.674594721792953</c:v>
                </c:pt>
                <c:pt idx="97">
                  <c:v>12.847464401366025</c:v>
                </c:pt>
                <c:pt idx="98">
                  <c:v>14.16630163350915</c:v>
                </c:pt>
                <c:pt idx="99">
                  <c:v>15.026800645919799</c:v>
                </c:pt>
                <c:pt idx="100">
                  <c:v>16.350559484747347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800-4DD0-8192-6525C507D0E3}"/>
            </c:ext>
          </c:extLst>
        </c:ser>
        <c:ser>
          <c:idx val="4"/>
          <c:order val="4"/>
          <c:tx>
            <c:strRef>
              <c:f>Räkn!$BG$14</c:f>
              <c:strCache>
                <c:ptCount val="1"/>
                <c:pt idx="0">
                  <c:v>Fas5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Räkn!$BA$15:$BA$115</c:f>
              <c:numCache>
                <c:formatCode>General</c:formatCode>
                <c:ptCount val="10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  <c:pt idx="51">
                  <c:v>0.10200000000000008</c:v>
                </c:pt>
                <c:pt idx="52">
                  <c:v>0.10400000000000008</c:v>
                </c:pt>
                <c:pt idx="53">
                  <c:v>0.10600000000000008</c:v>
                </c:pt>
                <c:pt idx="54">
                  <c:v>0.10800000000000008</c:v>
                </c:pt>
                <c:pt idx="55">
                  <c:v>0.11000000000000008</c:v>
                </c:pt>
                <c:pt idx="56">
                  <c:v>0.11200000000000009</c:v>
                </c:pt>
                <c:pt idx="57">
                  <c:v>0.11400000000000009</c:v>
                </c:pt>
                <c:pt idx="58">
                  <c:v>0.11600000000000009</c:v>
                </c:pt>
                <c:pt idx="59">
                  <c:v>0.11800000000000009</c:v>
                </c:pt>
                <c:pt idx="60">
                  <c:v>0.12000000000000009</c:v>
                </c:pt>
                <c:pt idx="61">
                  <c:v>0.12200000000000009</c:v>
                </c:pt>
                <c:pt idx="62">
                  <c:v>0.1240000000000001</c:v>
                </c:pt>
                <c:pt idx="63">
                  <c:v>0.12600000000000008</c:v>
                </c:pt>
                <c:pt idx="64">
                  <c:v>0.12800000000000009</c:v>
                </c:pt>
                <c:pt idx="65">
                  <c:v>0.13000000000000009</c:v>
                </c:pt>
                <c:pt idx="66">
                  <c:v>0.13200000000000009</c:v>
                </c:pt>
                <c:pt idx="67">
                  <c:v>0.13400000000000009</c:v>
                </c:pt>
                <c:pt idx="68">
                  <c:v>0.13600000000000009</c:v>
                </c:pt>
                <c:pt idx="69">
                  <c:v>0.13800000000000009</c:v>
                </c:pt>
                <c:pt idx="70">
                  <c:v>0.1400000000000001</c:v>
                </c:pt>
                <c:pt idx="71">
                  <c:v>0.1420000000000001</c:v>
                </c:pt>
                <c:pt idx="72">
                  <c:v>0.1440000000000001</c:v>
                </c:pt>
                <c:pt idx="73">
                  <c:v>0.1460000000000001</c:v>
                </c:pt>
                <c:pt idx="74">
                  <c:v>0.1480000000000001</c:v>
                </c:pt>
                <c:pt idx="75">
                  <c:v>0.15000000000000011</c:v>
                </c:pt>
                <c:pt idx="76">
                  <c:v>0.15200000000000011</c:v>
                </c:pt>
                <c:pt idx="77">
                  <c:v>0.15400000000000011</c:v>
                </c:pt>
                <c:pt idx="78">
                  <c:v>0.15600000000000011</c:v>
                </c:pt>
                <c:pt idx="79">
                  <c:v>0.15800000000000011</c:v>
                </c:pt>
                <c:pt idx="80">
                  <c:v>0.16000000000000011</c:v>
                </c:pt>
                <c:pt idx="81">
                  <c:v>0.16200000000000012</c:v>
                </c:pt>
                <c:pt idx="82">
                  <c:v>0.16400000000000012</c:v>
                </c:pt>
                <c:pt idx="83">
                  <c:v>0.16600000000000012</c:v>
                </c:pt>
                <c:pt idx="84">
                  <c:v>0.16800000000000012</c:v>
                </c:pt>
                <c:pt idx="85">
                  <c:v>0.17000000000000012</c:v>
                </c:pt>
                <c:pt idx="86">
                  <c:v>0.17200000000000013</c:v>
                </c:pt>
                <c:pt idx="87">
                  <c:v>0.17400000000000013</c:v>
                </c:pt>
                <c:pt idx="88">
                  <c:v>0.17600000000000013</c:v>
                </c:pt>
                <c:pt idx="89">
                  <c:v>0.17800000000000013</c:v>
                </c:pt>
                <c:pt idx="90">
                  <c:v>0.18000000000000013</c:v>
                </c:pt>
                <c:pt idx="91">
                  <c:v>0.18200000000000013</c:v>
                </c:pt>
                <c:pt idx="92">
                  <c:v>0.18400000000000014</c:v>
                </c:pt>
                <c:pt idx="93">
                  <c:v>0.18600000000000014</c:v>
                </c:pt>
                <c:pt idx="94">
                  <c:v>0.18800000000000014</c:v>
                </c:pt>
                <c:pt idx="95">
                  <c:v>0.19000000000000014</c:v>
                </c:pt>
                <c:pt idx="96">
                  <c:v>0.19200000000000014</c:v>
                </c:pt>
                <c:pt idx="97">
                  <c:v>0.19400000000000014</c:v>
                </c:pt>
                <c:pt idx="98">
                  <c:v>0.19600000000000015</c:v>
                </c:pt>
                <c:pt idx="99">
                  <c:v>0.19800000000000015</c:v>
                </c:pt>
                <c:pt idx="100">
                  <c:v>0.20000000000000015</c:v>
                </c:pt>
              </c:numCache>
            </c:numRef>
          </c:xVal>
          <c:yVal>
            <c:numRef>
              <c:f>Räkn!$BG$15:$BG$115</c:f>
              <c:numCache>
                <c:formatCode>General</c:formatCode>
                <c:ptCount val="101"/>
                <c:pt idx="0">
                  <c:v>29.583527829133178</c:v>
                </c:pt>
                <c:pt idx="1">
                  <c:v>34.299182898711138</c:v>
                </c:pt>
                <c:pt idx="2">
                  <c:v>37.66617995055708</c:v>
                </c:pt>
                <c:pt idx="3">
                  <c:v>41.437526842128733</c:v>
                </c:pt>
                <c:pt idx="4">
                  <c:v>42.568980768005339</c:v>
                </c:pt>
                <c:pt idx="5">
                  <c:v>44.942222080536489</c:v>
                </c:pt>
                <c:pt idx="6">
                  <c:v>44.616387678918592</c:v>
                </c:pt>
                <c:pt idx="7">
                  <c:v>45.701881951187396</c:v>
                </c:pt>
                <c:pt idx="8">
                  <c:v>47.912276031758232</c:v>
                </c:pt>
                <c:pt idx="9">
                  <c:v>46.810387656162597</c:v>
                </c:pt>
                <c:pt idx="10">
                  <c:v>47.024759005943345</c:v>
                </c:pt>
                <c:pt idx="11">
                  <c:v>48.259196477850722</c:v>
                </c:pt>
                <c:pt idx="12">
                  <c:v>45.909452117264543</c:v>
                </c:pt>
                <c:pt idx="13">
                  <c:v>47.496107431530788</c:v>
                </c:pt>
                <c:pt idx="14">
                  <c:v>44.372735475319267</c:v>
                </c:pt>
                <c:pt idx="15">
                  <c:v>44.064249404644002</c:v>
                </c:pt>
                <c:pt idx="16">
                  <c:v>43.014415973337719</c:v>
                </c:pt>
                <c:pt idx="17">
                  <c:v>38.448759646676351</c:v>
                </c:pt>
                <c:pt idx="18">
                  <c:v>35.335192040039438</c:v>
                </c:pt>
                <c:pt idx="19">
                  <c:v>31.583849606746181</c:v>
                </c:pt>
                <c:pt idx="20">
                  <c:v>28.999869593383913</c:v>
                </c:pt>
                <c:pt idx="21">
                  <c:v>23.918558612395454</c:v>
                </c:pt>
                <c:pt idx="22">
                  <c:v>19.834367511158284</c:v>
                </c:pt>
                <c:pt idx="23">
                  <c:v>13.859979759753507</c:v>
                </c:pt>
                <c:pt idx="24">
                  <c:v>9.1715316304686869</c:v>
                </c:pt>
                <c:pt idx="25">
                  <c:v>2.7126848327144231</c:v>
                </c:pt>
                <c:pt idx="26">
                  <c:v>-0.88363157852650831</c:v>
                </c:pt>
                <c:pt idx="27">
                  <c:v>-8.3064726999694347</c:v>
                </c:pt>
                <c:pt idx="28">
                  <c:v>-11.763776099654903</c:v>
                </c:pt>
                <c:pt idx="29">
                  <c:v>-18.721927373518909</c:v>
                </c:pt>
                <c:pt idx="30">
                  <c:v>-22.195739529098777</c:v>
                </c:pt>
                <c:pt idx="31">
                  <c:v>-26.875793270746794</c:v>
                </c:pt>
                <c:pt idx="32">
                  <c:v>-31.844561480235402</c:v>
                </c:pt>
                <c:pt idx="33">
                  <c:v>-34.450392172002417</c:v>
                </c:pt>
                <c:pt idx="34">
                  <c:v>-38.281560229737984</c:v>
                </c:pt>
                <c:pt idx="35">
                  <c:v>-40.592330507222997</c:v>
                </c:pt>
                <c:pt idx="36">
                  <c:v>-41.365943055456867</c:v>
                </c:pt>
                <c:pt idx="37">
                  <c:v>-42.173915628358536</c:v>
                </c:pt>
                <c:pt idx="38">
                  <c:v>-42.970378441757568</c:v>
                </c:pt>
                <c:pt idx="39">
                  <c:v>-44.139475123162008</c:v>
                </c:pt>
                <c:pt idx="40">
                  <c:v>-46.107398568598619</c:v>
                </c:pt>
                <c:pt idx="41">
                  <c:v>-45.862161086907228</c:v>
                </c:pt>
                <c:pt idx="42">
                  <c:v>-44.785287612000545</c:v>
                </c:pt>
                <c:pt idx="43">
                  <c:v>-45.165267279964112</c:v>
                </c:pt>
                <c:pt idx="44">
                  <c:v>-44.504268728136452</c:v>
                </c:pt>
                <c:pt idx="45">
                  <c:v>-43.025644644911928</c:v>
                </c:pt>
                <c:pt idx="46">
                  <c:v>-42.501765851268956</c:v>
                </c:pt>
                <c:pt idx="47">
                  <c:v>-39.339500089321838</c:v>
                </c:pt>
                <c:pt idx="48">
                  <c:v>-37.152928545050905</c:v>
                </c:pt>
                <c:pt idx="49">
                  <c:v>-34.663011729217224</c:v>
                </c:pt>
                <c:pt idx="50">
                  <c:v>-31.393124121529805</c:v>
                </c:pt>
                <c:pt idx="51">
                  <c:v>-26.63325173515787</c:v>
                </c:pt>
                <c:pt idx="52">
                  <c:v>-23.382832207378161</c:v>
                </c:pt>
                <c:pt idx="53">
                  <c:v>-17.320647969289102</c:v>
                </c:pt>
                <c:pt idx="54">
                  <c:v>-13.649644596923853</c:v>
                </c:pt>
                <c:pt idx="55">
                  <c:v>-8.2284565043696265</c:v>
                </c:pt>
                <c:pt idx="56">
                  <c:v>-3.6042255036403037</c:v>
                </c:pt>
                <c:pt idx="57">
                  <c:v>3.4509205027915675</c:v>
                </c:pt>
                <c:pt idx="58">
                  <c:v>8.6221192393281569</c:v>
                </c:pt>
                <c:pt idx="59">
                  <c:v>14.790341244794485</c:v>
                </c:pt>
                <c:pt idx="60">
                  <c:v>20.066367460238837</c:v>
                </c:pt>
                <c:pt idx="61">
                  <c:v>23.000021164207507</c:v>
                </c:pt>
                <c:pt idx="62">
                  <c:v>27.454859834922452</c:v>
                </c:pt>
                <c:pt idx="63">
                  <c:v>32.380798390383966</c:v>
                </c:pt>
                <c:pt idx="64">
                  <c:v>35.873553682426937</c:v>
                </c:pt>
                <c:pt idx="65">
                  <c:v>38.060731516156459</c:v>
                </c:pt>
                <c:pt idx="66">
                  <c:v>42.082948973456119</c:v>
                </c:pt>
                <c:pt idx="67">
                  <c:v>44.707348853304879</c:v>
                </c:pt>
                <c:pt idx="68">
                  <c:v>46.203085967336222</c:v>
                </c:pt>
                <c:pt idx="69">
                  <c:v>45.445837580569901</c:v>
                </c:pt>
                <c:pt idx="70">
                  <c:v>45.887619608698529</c:v>
                </c:pt>
                <c:pt idx="71">
                  <c:v>47.640379719727115</c:v>
                </c:pt>
                <c:pt idx="72">
                  <c:v>47.629571841231233</c:v>
                </c:pt>
                <c:pt idx="73">
                  <c:v>48.47687972487212</c:v>
                </c:pt>
                <c:pt idx="74">
                  <c:v>48.057454887025571</c:v>
                </c:pt>
                <c:pt idx="75">
                  <c:v>45.739122045472818</c:v>
                </c:pt>
                <c:pt idx="76">
                  <c:v>44.973454304754284</c:v>
                </c:pt>
                <c:pt idx="77">
                  <c:v>44.257352870128898</c:v>
                </c:pt>
                <c:pt idx="78">
                  <c:v>41.759901764300281</c:v>
                </c:pt>
                <c:pt idx="79">
                  <c:v>39.507448199130948</c:v>
                </c:pt>
                <c:pt idx="80">
                  <c:v>38.212275776444876</c:v>
                </c:pt>
                <c:pt idx="81">
                  <c:v>34.650837828404121</c:v>
                </c:pt>
                <c:pt idx="82">
                  <c:v>31.420016236658419</c:v>
                </c:pt>
                <c:pt idx="83">
                  <c:v>26.711286659167992</c:v>
                </c:pt>
                <c:pt idx="84">
                  <c:v>22.624796061287295</c:v>
                </c:pt>
                <c:pt idx="85">
                  <c:v>17.197880472026455</c:v>
                </c:pt>
                <c:pt idx="86">
                  <c:v>10.961624806337394</c:v>
                </c:pt>
                <c:pt idx="87">
                  <c:v>7.3644683868196053</c:v>
                </c:pt>
                <c:pt idx="88">
                  <c:v>0.3163264551325814</c:v>
                </c:pt>
                <c:pt idx="89">
                  <c:v>-4.3269598720261477</c:v>
                </c:pt>
                <c:pt idx="90">
                  <c:v>-9.387681439295358</c:v>
                </c:pt>
                <c:pt idx="91">
                  <c:v>-14.857622137503286</c:v>
                </c:pt>
                <c:pt idx="92">
                  <c:v>-20.301154755055446</c:v>
                </c:pt>
                <c:pt idx="93">
                  <c:v>-25.675006644549697</c:v>
                </c:pt>
                <c:pt idx="94">
                  <c:v>-28.664124701771005</c:v>
                </c:pt>
                <c:pt idx="95">
                  <c:v>-31.747396315628155</c:v>
                </c:pt>
                <c:pt idx="96">
                  <c:v>-36.7315817637351</c:v>
                </c:pt>
                <c:pt idx="97">
                  <c:v>-38.839256736782168</c:v>
                </c:pt>
                <c:pt idx="98">
                  <c:v>-41.747788412837068</c:v>
                </c:pt>
                <c:pt idx="99">
                  <c:v>-43.565100860787481</c:v>
                </c:pt>
                <c:pt idx="100">
                  <c:v>-43.625993988843369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800-4DD0-8192-6525C507D0E3}"/>
            </c:ext>
          </c:extLst>
        </c:ser>
        <c:ser>
          <c:idx val="5"/>
          <c:order val="5"/>
          <c:tx>
            <c:strRef>
              <c:f>Räkn!$BH$14</c:f>
              <c:strCache>
                <c:ptCount val="1"/>
                <c:pt idx="0">
                  <c:v>Fas6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Räkn!$BA$15:$BA$115</c:f>
              <c:numCache>
                <c:formatCode>General</c:formatCode>
                <c:ptCount val="10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  <c:pt idx="51">
                  <c:v>0.10200000000000008</c:v>
                </c:pt>
                <c:pt idx="52">
                  <c:v>0.10400000000000008</c:v>
                </c:pt>
                <c:pt idx="53">
                  <c:v>0.10600000000000008</c:v>
                </c:pt>
                <c:pt idx="54">
                  <c:v>0.10800000000000008</c:v>
                </c:pt>
                <c:pt idx="55">
                  <c:v>0.11000000000000008</c:v>
                </c:pt>
                <c:pt idx="56">
                  <c:v>0.11200000000000009</c:v>
                </c:pt>
                <c:pt idx="57">
                  <c:v>0.11400000000000009</c:v>
                </c:pt>
                <c:pt idx="58">
                  <c:v>0.11600000000000009</c:v>
                </c:pt>
                <c:pt idx="59">
                  <c:v>0.11800000000000009</c:v>
                </c:pt>
                <c:pt idx="60">
                  <c:v>0.12000000000000009</c:v>
                </c:pt>
                <c:pt idx="61">
                  <c:v>0.12200000000000009</c:v>
                </c:pt>
                <c:pt idx="62">
                  <c:v>0.1240000000000001</c:v>
                </c:pt>
                <c:pt idx="63">
                  <c:v>0.12600000000000008</c:v>
                </c:pt>
                <c:pt idx="64">
                  <c:v>0.12800000000000009</c:v>
                </c:pt>
                <c:pt idx="65">
                  <c:v>0.13000000000000009</c:v>
                </c:pt>
                <c:pt idx="66">
                  <c:v>0.13200000000000009</c:v>
                </c:pt>
                <c:pt idx="67">
                  <c:v>0.13400000000000009</c:v>
                </c:pt>
                <c:pt idx="68">
                  <c:v>0.13600000000000009</c:v>
                </c:pt>
                <c:pt idx="69">
                  <c:v>0.13800000000000009</c:v>
                </c:pt>
                <c:pt idx="70">
                  <c:v>0.1400000000000001</c:v>
                </c:pt>
                <c:pt idx="71">
                  <c:v>0.1420000000000001</c:v>
                </c:pt>
                <c:pt idx="72">
                  <c:v>0.1440000000000001</c:v>
                </c:pt>
                <c:pt idx="73">
                  <c:v>0.1460000000000001</c:v>
                </c:pt>
                <c:pt idx="74">
                  <c:v>0.1480000000000001</c:v>
                </c:pt>
                <c:pt idx="75">
                  <c:v>0.15000000000000011</c:v>
                </c:pt>
                <c:pt idx="76">
                  <c:v>0.15200000000000011</c:v>
                </c:pt>
                <c:pt idx="77">
                  <c:v>0.15400000000000011</c:v>
                </c:pt>
                <c:pt idx="78">
                  <c:v>0.15600000000000011</c:v>
                </c:pt>
                <c:pt idx="79">
                  <c:v>0.15800000000000011</c:v>
                </c:pt>
                <c:pt idx="80">
                  <c:v>0.16000000000000011</c:v>
                </c:pt>
                <c:pt idx="81">
                  <c:v>0.16200000000000012</c:v>
                </c:pt>
                <c:pt idx="82">
                  <c:v>0.16400000000000012</c:v>
                </c:pt>
                <c:pt idx="83">
                  <c:v>0.16600000000000012</c:v>
                </c:pt>
                <c:pt idx="84">
                  <c:v>0.16800000000000012</c:v>
                </c:pt>
                <c:pt idx="85">
                  <c:v>0.17000000000000012</c:v>
                </c:pt>
                <c:pt idx="86">
                  <c:v>0.17200000000000013</c:v>
                </c:pt>
                <c:pt idx="87">
                  <c:v>0.17400000000000013</c:v>
                </c:pt>
                <c:pt idx="88">
                  <c:v>0.17600000000000013</c:v>
                </c:pt>
                <c:pt idx="89">
                  <c:v>0.17800000000000013</c:v>
                </c:pt>
                <c:pt idx="90">
                  <c:v>0.18000000000000013</c:v>
                </c:pt>
                <c:pt idx="91">
                  <c:v>0.18200000000000013</c:v>
                </c:pt>
                <c:pt idx="92">
                  <c:v>0.18400000000000014</c:v>
                </c:pt>
                <c:pt idx="93">
                  <c:v>0.18600000000000014</c:v>
                </c:pt>
                <c:pt idx="94">
                  <c:v>0.18800000000000014</c:v>
                </c:pt>
                <c:pt idx="95">
                  <c:v>0.19000000000000014</c:v>
                </c:pt>
                <c:pt idx="96">
                  <c:v>0.19200000000000014</c:v>
                </c:pt>
                <c:pt idx="97">
                  <c:v>0.19400000000000014</c:v>
                </c:pt>
                <c:pt idx="98">
                  <c:v>0.19600000000000015</c:v>
                </c:pt>
                <c:pt idx="99">
                  <c:v>0.19800000000000015</c:v>
                </c:pt>
                <c:pt idx="100">
                  <c:v>0.20000000000000015</c:v>
                </c:pt>
              </c:numCache>
            </c:numRef>
          </c:xVal>
          <c:yVal>
            <c:numRef>
              <c:f>Räkn!$BH$15:$BH$115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800-4DD0-8192-6525C507D0E3}"/>
            </c:ext>
          </c:extLst>
        </c:ser>
        <c:ser>
          <c:idx val="6"/>
          <c:order val="6"/>
          <c:tx>
            <c:strRef>
              <c:f>Räkn!$BI$14</c:f>
              <c:strCache>
                <c:ptCount val="1"/>
                <c:pt idx="0">
                  <c:v>Fas7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Räkn!$BA$15:$BA$115</c:f>
              <c:numCache>
                <c:formatCode>General</c:formatCode>
                <c:ptCount val="10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  <c:pt idx="51">
                  <c:v>0.10200000000000008</c:v>
                </c:pt>
                <c:pt idx="52">
                  <c:v>0.10400000000000008</c:v>
                </c:pt>
                <c:pt idx="53">
                  <c:v>0.10600000000000008</c:v>
                </c:pt>
                <c:pt idx="54">
                  <c:v>0.10800000000000008</c:v>
                </c:pt>
                <c:pt idx="55">
                  <c:v>0.11000000000000008</c:v>
                </c:pt>
                <c:pt idx="56">
                  <c:v>0.11200000000000009</c:v>
                </c:pt>
                <c:pt idx="57">
                  <c:v>0.11400000000000009</c:v>
                </c:pt>
                <c:pt idx="58">
                  <c:v>0.11600000000000009</c:v>
                </c:pt>
                <c:pt idx="59">
                  <c:v>0.11800000000000009</c:v>
                </c:pt>
                <c:pt idx="60">
                  <c:v>0.12000000000000009</c:v>
                </c:pt>
                <c:pt idx="61">
                  <c:v>0.12200000000000009</c:v>
                </c:pt>
                <c:pt idx="62">
                  <c:v>0.1240000000000001</c:v>
                </c:pt>
                <c:pt idx="63">
                  <c:v>0.12600000000000008</c:v>
                </c:pt>
                <c:pt idx="64">
                  <c:v>0.12800000000000009</c:v>
                </c:pt>
                <c:pt idx="65">
                  <c:v>0.13000000000000009</c:v>
                </c:pt>
                <c:pt idx="66">
                  <c:v>0.13200000000000009</c:v>
                </c:pt>
                <c:pt idx="67">
                  <c:v>0.13400000000000009</c:v>
                </c:pt>
                <c:pt idx="68">
                  <c:v>0.13600000000000009</c:v>
                </c:pt>
                <c:pt idx="69">
                  <c:v>0.13800000000000009</c:v>
                </c:pt>
                <c:pt idx="70">
                  <c:v>0.1400000000000001</c:v>
                </c:pt>
                <c:pt idx="71">
                  <c:v>0.1420000000000001</c:v>
                </c:pt>
                <c:pt idx="72">
                  <c:v>0.1440000000000001</c:v>
                </c:pt>
                <c:pt idx="73">
                  <c:v>0.1460000000000001</c:v>
                </c:pt>
                <c:pt idx="74">
                  <c:v>0.1480000000000001</c:v>
                </c:pt>
                <c:pt idx="75">
                  <c:v>0.15000000000000011</c:v>
                </c:pt>
                <c:pt idx="76">
                  <c:v>0.15200000000000011</c:v>
                </c:pt>
                <c:pt idx="77">
                  <c:v>0.15400000000000011</c:v>
                </c:pt>
                <c:pt idx="78">
                  <c:v>0.15600000000000011</c:v>
                </c:pt>
                <c:pt idx="79">
                  <c:v>0.15800000000000011</c:v>
                </c:pt>
                <c:pt idx="80">
                  <c:v>0.16000000000000011</c:v>
                </c:pt>
                <c:pt idx="81">
                  <c:v>0.16200000000000012</c:v>
                </c:pt>
                <c:pt idx="82">
                  <c:v>0.16400000000000012</c:v>
                </c:pt>
                <c:pt idx="83">
                  <c:v>0.16600000000000012</c:v>
                </c:pt>
                <c:pt idx="84">
                  <c:v>0.16800000000000012</c:v>
                </c:pt>
                <c:pt idx="85">
                  <c:v>0.17000000000000012</c:v>
                </c:pt>
                <c:pt idx="86">
                  <c:v>0.17200000000000013</c:v>
                </c:pt>
                <c:pt idx="87">
                  <c:v>0.17400000000000013</c:v>
                </c:pt>
                <c:pt idx="88">
                  <c:v>0.17600000000000013</c:v>
                </c:pt>
                <c:pt idx="89">
                  <c:v>0.17800000000000013</c:v>
                </c:pt>
                <c:pt idx="90">
                  <c:v>0.18000000000000013</c:v>
                </c:pt>
                <c:pt idx="91">
                  <c:v>0.18200000000000013</c:v>
                </c:pt>
                <c:pt idx="92">
                  <c:v>0.18400000000000014</c:v>
                </c:pt>
                <c:pt idx="93">
                  <c:v>0.18600000000000014</c:v>
                </c:pt>
                <c:pt idx="94">
                  <c:v>0.18800000000000014</c:v>
                </c:pt>
                <c:pt idx="95">
                  <c:v>0.19000000000000014</c:v>
                </c:pt>
                <c:pt idx="96">
                  <c:v>0.19200000000000014</c:v>
                </c:pt>
                <c:pt idx="97">
                  <c:v>0.19400000000000014</c:v>
                </c:pt>
                <c:pt idx="98">
                  <c:v>0.19600000000000015</c:v>
                </c:pt>
                <c:pt idx="99">
                  <c:v>0.19800000000000015</c:v>
                </c:pt>
                <c:pt idx="100">
                  <c:v>0.20000000000000015</c:v>
                </c:pt>
              </c:numCache>
            </c:numRef>
          </c:xVal>
          <c:yVal>
            <c:numRef>
              <c:f>Räkn!$BI$15:$BI$115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800-4DD0-8192-6525C507D0E3}"/>
            </c:ext>
          </c:extLst>
        </c:ser>
        <c:ser>
          <c:idx val="7"/>
          <c:order val="7"/>
          <c:tx>
            <c:strRef>
              <c:f>Räkn!$BJ$14</c:f>
              <c:strCache>
                <c:ptCount val="1"/>
                <c:pt idx="0">
                  <c:v>Fas8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Räkn!$BA$15:$BA$115</c:f>
              <c:numCache>
                <c:formatCode>General</c:formatCode>
                <c:ptCount val="10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  <c:pt idx="51">
                  <c:v>0.10200000000000008</c:v>
                </c:pt>
                <c:pt idx="52">
                  <c:v>0.10400000000000008</c:v>
                </c:pt>
                <c:pt idx="53">
                  <c:v>0.10600000000000008</c:v>
                </c:pt>
                <c:pt idx="54">
                  <c:v>0.10800000000000008</c:v>
                </c:pt>
                <c:pt idx="55">
                  <c:v>0.11000000000000008</c:v>
                </c:pt>
                <c:pt idx="56">
                  <c:v>0.11200000000000009</c:v>
                </c:pt>
                <c:pt idx="57">
                  <c:v>0.11400000000000009</c:v>
                </c:pt>
                <c:pt idx="58">
                  <c:v>0.11600000000000009</c:v>
                </c:pt>
                <c:pt idx="59">
                  <c:v>0.11800000000000009</c:v>
                </c:pt>
                <c:pt idx="60">
                  <c:v>0.12000000000000009</c:v>
                </c:pt>
                <c:pt idx="61">
                  <c:v>0.12200000000000009</c:v>
                </c:pt>
                <c:pt idx="62">
                  <c:v>0.1240000000000001</c:v>
                </c:pt>
                <c:pt idx="63">
                  <c:v>0.12600000000000008</c:v>
                </c:pt>
                <c:pt idx="64">
                  <c:v>0.12800000000000009</c:v>
                </c:pt>
                <c:pt idx="65">
                  <c:v>0.13000000000000009</c:v>
                </c:pt>
                <c:pt idx="66">
                  <c:v>0.13200000000000009</c:v>
                </c:pt>
                <c:pt idx="67">
                  <c:v>0.13400000000000009</c:v>
                </c:pt>
                <c:pt idx="68">
                  <c:v>0.13600000000000009</c:v>
                </c:pt>
                <c:pt idx="69">
                  <c:v>0.13800000000000009</c:v>
                </c:pt>
                <c:pt idx="70">
                  <c:v>0.1400000000000001</c:v>
                </c:pt>
                <c:pt idx="71">
                  <c:v>0.1420000000000001</c:v>
                </c:pt>
                <c:pt idx="72">
                  <c:v>0.1440000000000001</c:v>
                </c:pt>
                <c:pt idx="73">
                  <c:v>0.1460000000000001</c:v>
                </c:pt>
                <c:pt idx="74">
                  <c:v>0.1480000000000001</c:v>
                </c:pt>
                <c:pt idx="75">
                  <c:v>0.15000000000000011</c:v>
                </c:pt>
                <c:pt idx="76">
                  <c:v>0.15200000000000011</c:v>
                </c:pt>
                <c:pt idx="77">
                  <c:v>0.15400000000000011</c:v>
                </c:pt>
                <c:pt idx="78">
                  <c:v>0.15600000000000011</c:v>
                </c:pt>
                <c:pt idx="79">
                  <c:v>0.15800000000000011</c:v>
                </c:pt>
                <c:pt idx="80">
                  <c:v>0.16000000000000011</c:v>
                </c:pt>
                <c:pt idx="81">
                  <c:v>0.16200000000000012</c:v>
                </c:pt>
                <c:pt idx="82">
                  <c:v>0.16400000000000012</c:v>
                </c:pt>
                <c:pt idx="83">
                  <c:v>0.16600000000000012</c:v>
                </c:pt>
                <c:pt idx="84">
                  <c:v>0.16800000000000012</c:v>
                </c:pt>
                <c:pt idx="85">
                  <c:v>0.17000000000000012</c:v>
                </c:pt>
                <c:pt idx="86">
                  <c:v>0.17200000000000013</c:v>
                </c:pt>
                <c:pt idx="87">
                  <c:v>0.17400000000000013</c:v>
                </c:pt>
                <c:pt idx="88">
                  <c:v>0.17600000000000013</c:v>
                </c:pt>
                <c:pt idx="89">
                  <c:v>0.17800000000000013</c:v>
                </c:pt>
                <c:pt idx="90">
                  <c:v>0.18000000000000013</c:v>
                </c:pt>
                <c:pt idx="91">
                  <c:v>0.18200000000000013</c:v>
                </c:pt>
                <c:pt idx="92">
                  <c:v>0.18400000000000014</c:v>
                </c:pt>
                <c:pt idx="93">
                  <c:v>0.18600000000000014</c:v>
                </c:pt>
                <c:pt idx="94">
                  <c:v>0.18800000000000014</c:v>
                </c:pt>
                <c:pt idx="95">
                  <c:v>0.19000000000000014</c:v>
                </c:pt>
                <c:pt idx="96">
                  <c:v>0.19200000000000014</c:v>
                </c:pt>
                <c:pt idx="97">
                  <c:v>0.19400000000000014</c:v>
                </c:pt>
                <c:pt idx="98">
                  <c:v>0.19600000000000015</c:v>
                </c:pt>
                <c:pt idx="99">
                  <c:v>0.19800000000000015</c:v>
                </c:pt>
                <c:pt idx="100">
                  <c:v>0.20000000000000015</c:v>
                </c:pt>
              </c:numCache>
            </c:numRef>
          </c:xVal>
          <c:yVal>
            <c:numRef>
              <c:f>Räkn!$BJ$15:$BJ$115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800-4DD0-8192-6525C507D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1756415"/>
        <c:axId val="921759743"/>
      </c:scatterChart>
      <c:valAx>
        <c:axId val="921756415"/>
        <c:scaling>
          <c:orientation val="minMax"/>
          <c:max val="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Tid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921759743"/>
        <c:crosses val="autoZero"/>
        <c:crossBetween val="midCat"/>
      </c:valAx>
      <c:valAx>
        <c:axId val="921759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Spänning [V]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9217564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Voltage phase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plot!$M$4:$M$104</c:f>
              <c:numCache>
                <c:formatCode>0.00</c:formatCode>
                <c:ptCount val="101"/>
                <c:pt idx="0">
                  <c:v>-4.0004727806881316E-5</c:v>
                </c:pt>
                <c:pt idx="1">
                  <c:v>4.1782788100881837E-3</c:v>
                </c:pt>
                <c:pt idx="2">
                  <c:v>9.6988689296578882E-3</c:v>
                </c:pt>
                <c:pt idx="3">
                  <c:v>1.5803076715160364E-2</c:v>
                </c:pt>
                <c:pt idx="4">
                  <c:v>2.1539437790348604E-2</c:v>
                </c:pt>
                <c:pt idx="5">
                  <c:v>2.7392159466598353E-2</c:v>
                </c:pt>
                <c:pt idx="6">
                  <c:v>3.2509476967139087E-2</c:v>
                </c:pt>
                <c:pt idx="7">
                  <c:v>3.6183796686895524E-2</c:v>
                </c:pt>
                <c:pt idx="8">
                  <c:v>4.0059094493757386E-2</c:v>
                </c:pt>
                <c:pt idx="9">
                  <c:v>4.208655015764759E-2</c:v>
                </c:pt>
                <c:pt idx="10">
                  <c:v>4.4028557523512084E-2</c:v>
                </c:pt>
                <c:pt idx="11">
                  <c:v>4.5741469675798903E-2</c:v>
                </c:pt>
                <c:pt idx="12">
                  <c:v>4.5911464194543061E-2</c:v>
                </c:pt>
                <c:pt idx="13">
                  <c:v>4.6094452561653912E-2</c:v>
                </c:pt>
                <c:pt idx="14">
                  <c:v>4.5743476465045348E-2</c:v>
                </c:pt>
                <c:pt idx="15">
                  <c:v>4.629879386483296E-2</c:v>
                </c:pt>
                <c:pt idx="16">
                  <c:v>4.573848684292222E-2</c:v>
                </c:pt>
                <c:pt idx="17">
                  <c:v>4.6639129404129141E-2</c:v>
                </c:pt>
                <c:pt idx="18">
                  <c:v>4.5383139534439863E-2</c:v>
                </c:pt>
                <c:pt idx="19">
                  <c:v>4.5358807864648645E-2</c:v>
                </c:pt>
                <c:pt idx="20">
                  <c:v>4.5971705002985142E-2</c:v>
                </c:pt>
                <c:pt idx="21">
                  <c:v>4.4863826235455477E-2</c:v>
                </c:pt>
                <c:pt idx="22">
                  <c:v>4.2278546063587684E-2</c:v>
                </c:pt>
                <c:pt idx="23">
                  <c:v>4.0634899615577931E-2</c:v>
                </c:pt>
                <c:pt idx="24">
                  <c:v>3.7190438266888497E-2</c:v>
                </c:pt>
                <c:pt idx="25">
                  <c:v>3.3571200399597767E-2</c:v>
                </c:pt>
                <c:pt idx="26">
                  <c:v>2.905526419547062E-2</c:v>
                </c:pt>
                <c:pt idx="27">
                  <c:v>2.2677030142427026E-2</c:v>
                </c:pt>
                <c:pt idx="28">
                  <c:v>1.7710363043702611E-2</c:v>
                </c:pt>
                <c:pt idx="29">
                  <c:v>1.160498551564621E-2</c:v>
                </c:pt>
                <c:pt idx="30">
                  <c:v>6.4324865559934434E-3</c:v>
                </c:pt>
                <c:pt idx="31">
                  <c:v>1.610072238162844E-3</c:v>
                </c:pt>
                <c:pt idx="32">
                  <c:v>-3.6055174683470802E-3</c:v>
                </c:pt>
                <c:pt idx="33">
                  <c:v>-8.432471958918537E-3</c:v>
                </c:pt>
                <c:pt idx="34">
                  <c:v>-1.5083609232574336E-2</c:v>
                </c:pt>
                <c:pt idx="35">
                  <c:v>-2.080985399458795E-2</c:v>
                </c:pt>
                <c:pt idx="36">
                  <c:v>-2.5920098794189592E-2</c:v>
                </c:pt>
                <c:pt idx="37">
                  <c:v>-3.1713709621005427E-2</c:v>
                </c:pt>
                <c:pt idx="38">
                  <c:v>-3.563598112346239E-2</c:v>
                </c:pt>
                <c:pt idx="39">
                  <c:v>-3.9211519598064327E-2</c:v>
                </c:pt>
                <c:pt idx="40">
                  <c:v>-4.246912147566155E-2</c:v>
                </c:pt>
                <c:pt idx="41">
                  <c:v>-4.4232063140026194E-2</c:v>
                </c:pt>
                <c:pt idx="42">
                  <c:v>-4.4497234703957347E-2</c:v>
                </c:pt>
                <c:pt idx="43">
                  <c:v>-4.545063905061307E-2</c:v>
                </c:pt>
                <c:pt idx="44">
                  <c:v>-4.6224588727602545E-2</c:v>
                </c:pt>
                <c:pt idx="45">
                  <c:v>-4.6079785508539105E-2</c:v>
                </c:pt>
                <c:pt idx="46">
                  <c:v>-4.6025050177895377E-2</c:v>
                </c:pt>
                <c:pt idx="47">
                  <c:v>-4.5691919733215632E-2</c:v>
                </c:pt>
                <c:pt idx="48">
                  <c:v>-4.666648006822853E-2</c:v>
                </c:pt>
                <c:pt idx="49">
                  <c:v>-4.5540012222126246E-2</c:v>
                </c:pt>
                <c:pt idx="50">
                  <c:v>-4.558622769539139E-2</c:v>
                </c:pt>
                <c:pt idx="51">
                  <c:v>-4.5978109788223295E-2</c:v>
                </c:pt>
                <c:pt idx="52">
                  <c:v>-4.4709583303946067E-2</c:v>
                </c:pt>
                <c:pt idx="53">
                  <c:v>-4.3057771436606843E-2</c:v>
                </c:pt>
                <c:pt idx="54">
                  <c:v>-4.1437692335086283E-2</c:v>
                </c:pt>
                <c:pt idx="55">
                  <c:v>-3.7788851090791969E-2</c:v>
                </c:pt>
                <c:pt idx="56">
                  <c:v>-3.514662728994334E-2</c:v>
                </c:pt>
                <c:pt idx="57">
                  <c:v>-2.9310693673643494E-2</c:v>
                </c:pt>
                <c:pt idx="58">
                  <c:v>-2.5220628017285352E-2</c:v>
                </c:pt>
                <c:pt idx="59">
                  <c:v>-1.9426283510947016E-2</c:v>
                </c:pt>
                <c:pt idx="60">
                  <c:v>-1.2640260304199739E-2</c:v>
                </c:pt>
                <c:pt idx="61">
                  <c:v>-7.2131318982208009E-3</c:v>
                </c:pt>
                <c:pt idx="62">
                  <c:v>-2.2308020902351835E-3</c:v>
                </c:pt>
                <c:pt idx="63">
                  <c:v>2.5110265017891258E-3</c:v>
                </c:pt>
                <c:pt idx="64">
                  <c:v>7.3695316615413429E-3</c:v>
                </c:pt>
                <c:pt idx="65">
                  <c:v>1.2323099124935981E-2</c:v>
                </c:pt>
                <c:pt idx="66">
                  <c:v>1.8345188053195301E-2</c:v>
                </c:pt>
                <c:pt idx="67">
                  <c:v>2.4876920533077895E-2</c:v>
                </c:pt>
                <c:pt idx="68">
                  <c:v>2.9430112584620843E-2</c:v>
                </c:pt>
                <c:pt idx="69">
                  <c:v>3.4880712557376965E-2</c:v>
                </c:pt>
                <c:pt idx="70">
                  <c:v>3.8145297395174971E-2</c:v>
                </c:pt>
                <c:pt idx="71">
                  <c:v>4.144699137319767E-2</c:v>
                </c:pt>
                <c:pt idx="72">
                  <c:v>4.3425003647844226E-2</c:v>
                </c:pt>
                <c:pt idx="73">
                  <c:v>4.45334316481871E-2</c:v>
                </c:pt>
                <c:pt idx="74">
                  <c:v>4.5682894265576091E-2</c:v>
                </c:pt>
                <c:pt idx="75">
                  <c:v>4.5635370891412216E-2</c:v>
                </c:pt>
                <c:pt idx="76">
                  <c:v>4.6469731434825308E-2</c:v>
                </c:pt>
                <c:pt idx="77">
                  <c:v>4.5778552982316395E-2</c:v>
                </c:pt>
                <c:pt idx="78">
                  <c:v>4.5659553040628943E-2</c:v>
                </c:pt>
                <c:pt idx="79">
                  <c:v>4.5698865187438112E-2</c:v>
                </c:pt>
                <c:pt idx="80">
                  <c:v>4.5821985567270934E-2</c:v>
                </c:pt>
                <c:pt idx="81">
                  <c:v>4.63276852485087E-2</c:v>
                </c:pt>
                <c:pt idx="82">
                  <c:v>4.6316245970667858E-2</c:v>
                </c:pt>
                <c:pt idx="83">
                  <c:v>4.4343033410635703E-2</c:v>
                </c:pt>
                <c:pt idx="84">
                  <c:v>4.3638471748316962E-2</c:v>
                </c:pt>
                <c:pt idx="85">
                  <c:v>4.2160716347596133E-2</c:v>
                </c:pt>
                <c:pt idx="86">
                  <c:v>3.867693522437804E-2</c:v>
                </c:pt>
                <c:pt idx="87">
                  <c:v>3.5256929188584016E-2</c:v>
                </c:pt>
                <c:pt idx="88">
                  <c:v>3.0490353045432017E-2</c:v>
                </c:pt>
                <c:pt idx="89">
                  <c:v>2.6156435488153558E-2</c:v>
                </c:pt>
                <c:pt idx="90">
                  <c:v>2.0148554066921599E-2</c:v>
                </c:pt>
                <c:pt idx="91">
                  <c:v>1.3846963526313261E-2</c:v>
                </c:pt>
                <c:pt idx="92">
                  <c:v>8.8433613493624341E-3</c:v>
                </c:pt>
                <c:pt idx="93">
                  <c:v>3.5734680840851922E-3</c:v>
                </c:pt>
                <c:pt idx="94">
                  <c:v>-1.0126483177264067E-3</c:v>
                </c:pt>
                <c:pt idx="95">
                  <c:v>-6.1952785085476391E-3</c:v>
                </c:pt>
                <c:pt idx="96">
                  <c:v>-1.0905132202242304E-2</c:v>
                </c:pt>
                <c:pt idx="97">
                  <c:v>-1.6878008995978723E-2</c:v>
                </c:pt>
                <c:pt idx="98">
                  <c:v>-2.3104734924120265E-2</c:v>
                </c:pt>
                <c:pt idx="99">
                  <c:v>-2.8416542759773206E-2</c:v>
                </c:pt>
                <c:pt idx="100">
                  <c:v>-3.3317913098780474E-2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F3-4511-B5C6-088D760AF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743888"/>
        <c:axId val="469746800"/>
      </c:scatterChart>
      <c:valAx>
        <c:axId val="469743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469746800"/>
        <c:crosses val="autoZero"/>
        <c:crossBetween val="midCat"/>
      </c:valAx>
      <c:valAx>
        <c:axId val="46974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469743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Voltages U(t)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plot!$L$4:$L$104</c:f>
              <c:numCache>
                <c:formatCode>General</c:formatCode>
                <c:ptCount val="10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  <c:pt idx="51">
                  <c:v>0.10200000000000008</c:v>
                </c:pt>
                <c:pt idx="52">
                  <c:v>0.10400000000000008</c:v>
                </c:pt>
                <c:pt idx="53">
                  <c:v>0.10600000000000008</c:v>
                </c:pt>
                <c:pt idx="54">
                  <c:v>0.10800000000000008</c:v>
                </c:pt>
                <c:pt idx="55">
                  <c:v>0.11000000000000008</c:v>
                </c:pt>
                <c:pt idx="56">
                  <c:v>0.11200000000000009</c:v>
                </c:pt>
                <c:pt idx="57">
                  <c:v>0.11400000000000009</c:v>
                </c:pt>
                <c:pt idx="58">
                  <c:v>0.11600000000000009</c:v>
                </c:pt>
                <c:pt idx="59">
                  <c:v>0.11800000000000009</c:v>
                </c:pt>
                <c:pt idx="60">
                  <c:v>0.12000000000000009</c:v>
                </c:pt>
                <c:pt idx="61">
                  <c:v>0.12200000000000009</c:v>
                </c:pt>
                <c:pt idx="62">
                  <c:v>0.1240000000000001</c:v>
                </c:pt>
                <c:pt idx="63">
                  <c:v>0.12600000000000008</c:v>
                </c:pt>
                <c:pt idx="64">
                  <c:v>0.12800000000000009</c:v>
                </c:pt>
                <c:pt idx="65">
                  <c:v>0.13000000000000009</c:v>
                </c:pt>
                <c:pt idx="66">
                  <c:v>0.13200000000000009</c:v>
                </c:pt>
                <c:pt idx="67">
                  <c:v>0.13400000000000009</c:v>
                </c:pt>
                <c:pt idx="68">
                  <c:v>0.13600000000000009</c:v>
                </c:pt>
                <c:pt idx="69">
                  <c:v>0.13800000000000009</c:v>
                </c:pt>
                <c:pt idx="70">
                  <c:v>0.1400000000000001</c:v>
                </c:pt>
                <c:pt idx="71">
                  <c:v>0.1420000000000001</c:v>
                </c:pt>
                <c:pt idx="72">
                  <c:v>0.1440000000000001</c:v>
                </c:pt>
                <c:pt idx="73">
                  <c:v>0.1460000000000001</c:v>
                </c:pt>
                <c:pt idx="74">
                  <c:v>0.1480000000000001</c:v>
                </c:pt>
                <c:pt idx="75">
                  <c:v>0.15000000000000011</c:v>
                </c:pt>
                <c:pt idx="76">
                  <c:v>0.15200000000000011</c:v>
                </c:pt>
                <c:pt idx="77">
                  <c:v>0.15400000000000011</c:v>
                </c:pt>
                <c:pt idx="78">
                  <c:v>0.15600000000000011</c:v>
                </c:pt>
                <c:pt idx="79">
                  <c:v>0.15800000000000011</c:v>
                </c:pt>
                <c:pt idx="80">
                  <c:v>0.16000000000000011</c:v>
                </c:pt>
                <c:pt idx="81">
                  <c:v>0.16200000000000012</c:v>
                </c:pt>
                <c:pt idx="82">
                  <c:v>0.16400000000000012</c:v>
                </c:pt>
                <c:pt idx="83">
                  <c:v>0.16600000000000012</c:v>
                </c:pt>
                <c:pt idx="84">
                  <c:v>0.16800000000000012</c:v>
                </c:pt>
                <c:pt idx="85">
                  <c:v>0.17000000000000012</c:v>
                </c:pt>
                <c:pt idx="86">
                  <c:v>0.17200000000000013</c:v>
                </c:pt>
                <c:pt idx="87">
                  <c:v>0.17400000000000013</c:v>
                </c:pt>
                <c:pt idx="88">
                  <c:v>0.17600000000000013</c:v>
                </c:pt>
                <c:pt idx="89">
                  <c:v>0.17800000000000013</c:v>
                </c:pt>
                <c:pt idx="90">
                  <c:v>0.18000000000000013</c:v>
                </c:pt>
                <c:pt idx="91">
                  <c:v>0.18200000000000013</c:v>
                </c:pt>
                <c:pt idx="92">
                  <c:v>0.18400000000000014</c:v>
                </c:pt>
                <c:pt idx="93">
                  <c:v>0.18600000000000014</c:v>
                </c:pt>
                <c:pt idx="94">
                  <c:v>0.18800000000000014</c:v>
                </c:pt>
                <c:pt idx="95">
                  <c:v>0.19000000000000014</c:v>
                </c:pt>
                <c:pt idx="96">
                  <c:v>0.19200000000000014</c:v>
                </c:pt>
                <c:pt idx="97">
                  <c:v>0.19400000000000014</c:v>
                </c:pt>
                <c:pt idx="98">
                  <c:v>0.19600000000000015</c:v>
                </c:pt>
                <c:pt idx="99">
                  <c:v>0.19800000000000015</c:v>
                </c:pt>
                <c:pt idx="100">
                  <c:v>0.20000000000000015</c:v>
                </c:pt>
              </c:numCache>
            </c:numRef>
          </c:xVal>
          <c:yVal>
            <c:numRef>
              <c:f>plot!$M$4:$M$104</c:f>
              <c:numCache>
                <c:formatCode>0.00</c:formatCode>
                <c:ptCount val="101"/>
                <c:pt idx="0">
                  <c:v>-4.0004727806881316E-5</c:v>
                </c:pt>
                <c:pt idx="1">
                  <c:v>4.1782788100881837E-3</c:v>
                </c:pt>
                <c:pt idx="2">
                  <c:v>9.6988689296578882E-3</c:v>
                </c:pt>
                <c:pt idx="3">
                  <c:v>1.5803076715160364E-2</c:v>
                </c:pt>
                <c:pt idx="4">
                  <c:v>2.1539437790348604E-2</c:v>
                </c:pt>
                <c:pt idx="5">
                  <c:v>2.7392159466598353E-2</c:v>
                </c:pt>
                <c:pt idx="6">
                  <c:v>3.2509476967139087E-2</c:v>
                </c:pt>
                <c:pt idx="7">
                  <c:v>3.6183796686895524E-2</c:v>
                </c:pt>
                <c:pt idx="8">
                  <c:v>4.0059094493757386E-2</c:v>
                </c:pt>
                <c:pt idx="9">
                  <c:v>4.208655015764759E-2</c:v>
                </c:pt>
                <c:pt idx="10">
                  <c:v>4.4028557523512084E-2</c:v>
                </c:pt>
                <c:pt idx="11">
                  <c:v>4.5741469675798903E-2</c:v>
                </c:pt>
                <c:pt idx="12">
                  <c:v>4.5911464194543061E-2</c:v>
                </c:pt>
                <c:pt idx="13">
                  <c:v>4.6094452561653912E-2</c:v>
                </c:pt>
                <c:pt idx="14">
                  <c:v>4.5743476465045348E-2</c:v>
                </c:pt>
                <c:pt idx="15">
                  <c:v>4.629879386483296E-2</c:v>
                </c:pt>
                <c:pt idx="16">
                  <c:v>4.573848684292222E-2</c:v>
                </c:pt>
                <c:pt idx="17">
                  <c:v>4.6639129404129141E-2</c:v>
                </c:pt>
                <c:pt idx="18">
                  <c:v>4.5383139534439863E-2</c:v>
                </c:pt>
                <c:pt idx="19">
                  <c:v>4.5358807864648645E-2</c:v>
                </c:pt>
                <c:pt idx="20">
                  <c:v>4.5971705002985142E-2</c:v>
                </c:pt>
                <c:pt idx="21">
                  <c:v>4.4863826235455477E-2</c:v>
                </c:pt>
                <c:pt idx="22">
                  <c:v>4.2278546063587684E-2</c:v>
                </c:pt>
                <c:pt idx="23">
                  <c:v>4.0634899615577931E-2</c:v>
                </c:pt>
                <c:pt idx="24">
                  <c:v>3.7190438266888497E-2</c:v>
                </c:pt>
                <c:pt idx="25">
                  <c:v>3.3571200399597767E-2</c:v>
                </c:pt>
                <c:pt idx="26">
                  <c:v>2.905526419547062E-2</c:v>
                </c:pt>
                <c:pt idx="27">
                  <c:v>2.2677030142427026E-2</c:v>
                </c:pt>
                <c:pt idx="28">
                  <c:v>1.7710363043702611E-2</c:v>
                </c:pt>
                <c:pt idx="29">
                  <c:v>1.160498551564621E-2</c:v>
                </c:pt>
                <c:pt idx="30">
                  <c:v>6.4324865559934434E-3</c:v>
                </c:pt>
                <c:pt idx="31">
                  <c:v>1.610072238162844E-3</c:v>
                </c:pt>
                <c:pt idx="32">
                  <c:v>-3.6055174683470802E-3</c:v>
                </c:pt>
                <c:pt idx="33">
                  <c:v>-8.432471958918537E-3</c:v>
                </c:pt>
                <c:pt idx="34">
                  <c:v>-1.5083609232574336E-2</c:v>
                </c:pt>
                <c:pt idx="35">
                  <c:v>-2.080985399458795E-2</c:v>
                </c:pt>
                <c:pt idx="36">
                  <c:v>-2.5920098794189592E-2</c:v>
                </c:pt>
                <c:pt idx="37">
                  <c:v>-3.1713709621005427E-2</c:v>
                </c:pt>
                <c:pt idx="38">
                  <c:v>-3.563598112346239E-2</c:v>
                </c:pt>
                <c:pt idx="39">
                  <c:v>-3.9211519598064327E-2</c:v>
                </c:pt>
                <c:pt idx="40">
                  <c:v>-4.246912147566155E-2</c:v>
                </c:pt>
                <c:pt idx="41">
                  <c:v>-4.4232063140026194E-2</c:v>
                </c:pt>
                <c:pt idx="42">
                  <c:v>-4.4497234703957347E-2</c:v>
                </c:pt>
                <c:pt idx="43">
                  <c:v>-4.545063905061307E-2</c:v>
                </c:pt>
                <c:pt idx="44">
                  <c:v>-4.6224588727602545E-2</c:v>
                </c:pt>
                <c:pt idx="45">
                  <c:v>-4.6079785508539105E-2</c:v>
                </c:pt>
                <c:pt idx="46">
                  <c:v>-4.6025050177895377E-2</c:v>
                </c:pt>
                <c:pt idx="47">
                  <c:v>-4.5691919733215632E-2</c:v>
                </c:pt>
                <c:pt idx="48">
                  <c:v>-4.666648006822853E-2</c:v>
                </c:pt>
                <c:pt idx="49">
                  <c:v>-4.5540012222126246E-2</c:v>
                </c:pt>
                <c:pt idx="50">
                  <c:v>-4.558622769539139E-2</c:v>
                </c:pt>
                <c:pt idx="51">
                  <c:v>-4.5978109788223295E-2</c:v>
                </c:pt>
                <c:pt idx="52">
                  <c:v>-4.4709583303946067E-2</c:v>
                </c:pt>
                <c:pt idx="53">
                  <c:v>-4.3057771436606843E-2</c:v>
                </c:pt>
                <c:pt idx="54">
                  <c:v>-4.1437692335086283E-2</c:v>
                </c:pt>
                <c:pt idx="55">
                  <c:v>-3.7788851090791969E-2</c:v>
                </c:pt>
                <c:pt idx="56">
                  <c:v>-3.514662728994334E-2</c:v>
                </c:pt>
                <c:pt idx="57">
                  <c:v>-2.9310693673643494E-2</c:v>
                </c:pt>
                <c:pt idx="58">
                  <c:v>-2.5220628017285352E-2</c:v>
                </c:pt>
                <c:pt idx="59">
                  <c:v>-1.9426283510947016E-2</c:v>
                </c:pt>
                <c:pt idx="60">
                  <c:v>-1.2640260304199739E-2</c:v>
                </c:pt>
                <c:pt idx="61">
                  <c:v>-7.2131318982208009E-3</c:v>
                </c:pt>
                <c:pt idx="62">
                  <c:v>-2.2308020902351835E-3</c:v>
                </c:pt>
                <c:pt idx="63">
                  <c:v>2.5110265017891258E-3</c:v>
                </c:pt>
                <c:pt idx="64">
                  <c:v>7.3695316615413429E-3</c:v>
                </c:pt>
                <c:pt idx="65">
                  <c:v>1.2323099124935981E-2</c:v>
                </c:pt>
                <c:pt idx="66">
                  <c:v>1.8345188053195301E-2</c:v>
                </c:pt>
                <c:pt idx="67">
                  <c:v>2.4876920533077895E-2</c:v>
                </c:pt>
                <c:pt idx="68">
                  <c:v>2.9430112584620843E-2</c:v>
                </c:pt>
                <c:pt idx="69">
                  <c:v>3.4880712557376965E-2</c:v>
                </c:pt>
                <c:pt idx="70">
                  <c:v>3.8145297395174971E-2</c:v>
                </c:pt>
                <c:pt idx="71">
                  <c:v>4.144699137319767E-2</c:v>
                </c:pt>
                <c:pt idx="72">
                  <c:v>4.3425003647844226E-2</c:v>
                </c:pt>
                <c:pt idx="73">
                  <c:v>4.45334316481871E-2</c:v>
                </c:pt>
                <c:pt idx="74">
                  <c:v>4.5682894265576091E-2</c:v>
                </c:pt>
                <c:pt idx="75">
                  <c:v>4.5635370891412216E-2</c:v>
                </c:pt>
                <c:pt idx="76">
                  <c:v>4.6469731434825308E-2</c:v>
                </c:pt>
                <c:pt idx="77">
                  <c:v>4.5778552982316395E-2</c:v>
                </c:pt>
                <c:pt idx="78">
                  <c:v>4.5659553040628943E-2</c:v>
                </c:pt>
                <c:pt idx="79">
                  <c:v>4.5698865187438112E-2</c:v>
                </c:pt>
                <c:pt idx="80">
                  <c:v>4.5821985567270934E-2</c:v>
                </c:pt>
                <c:pt idx="81">
                  <c:v>4.63276852485087E-2</c:v>
                </c:pt>
                <c:pt idx="82">
                  <c:v>4.6316245970667858E-2</c:v>
                </c:pt>
                <c:pt idx="83">
                  <c:v>4.4343033410635703E-2</c:v>
                </c:pt>
                <c:pt idx="84">
                  <c:v>4.3638471748316962E-2</c:v>
                </c:pt>
                <c:pt idx="85">
                  <c:v>4.2160716347596133E-2</c:v>
                </c:pt>
                <c:pt idx="86">
                  <c:v>3.867693522437804E-2</c:v>
                </c:pt>
                <c:pt idx="87">
                  <c:v>3.5256929188584016E-2</c:v>
                </c:pt>
                <c:pt idx="88">
                  <c:v>3.0490353045432017E-2</c:v>
                </c:pt>
                <c:pt idx="89">
                  <c:v>2.6156435488153558E-2</c:v>
                </c:pt>
                <c:pt idx="90">
                  <c:v>2.0148554066921599E-2</c:v>
                </c:pt>
                <c:pt idx="91">
                  <c:v>1.3846963526313261E-2</c:v>
                </c:pt>
                <c:pt idx="92">
                  <c:v>8.8433613493624341E-3</c:v>
                </c:pt>
                <c:pt idx="93">
                  <c:v>3.5734680840851922E-3</c:v>
                </c:pt>
                <c:pt idx="94">
                  <c:v>-1.0126483177264067E-3</c:v>
                </c:pt>
                <c:pt idx="95">
                  <c:v>-6.1952785085476391E-3</c:v>
                </c:pt>
                <c:pt idx="96">
                  <c:v>-1.0905132202242304E-2</c:v>
                </c:pt>
                <c:pt idx="97">
                  <c:v>-1.6878008995978723E-2</c:v>
                </c:pt>
                <c:pt idx="98">
                  <c:v>-2.3104734924120265E-2</c:v>
                </c:pt>
                <c:pt idx="99">
                  <c:v>-2.8416542759773206E-2</c:v>
                </c:pt>
                <c:pt idx="100">
                  <c:v>-3.3317913098780474E-2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F6-4A11-8589-ADB7D1E9F2A2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plot!$L$4:$L$104</c:f>
              <c:numCache>
                <c:formatCode>General</c:formatCode>
                <c:ptCount val="10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  <c:pt idx="51">
                  <c:v>0.10200000000000008</c:v>
                </c:pt>
                <c:pt idx="52">
                  <c:v>0.10400000000000008</c:v>
                </c:pt>
                <c:pt idx="53">
                  <c:v>0.10600000000000008</c:v>
                </c:pt>
                <c:pt idx="54">
                  <c:v>0.10800000000000008</c:v>
                </c:pt>
                <c:pt idx="55">
                  <c:v>0.11000000000000008</c:v>
                </c:pt>
                <c:pt idx="56">
                  <c:v>0.11200000000000009</c:v>
                </c:pt>
                <c:pt idx="57">
                  <c:v>0.11400000000000009</c:v>
                </c:pt>
                <c:pt idx="58">
                  <c:v>0.11600000000000009</c:v>
                </c:pt>
                <c:pt idx="59">
                  <c:v>0.11800000000000009</c:v>
                </c:pt>
                <c:pt idx="60">
                  <c:v>0.12000000000000009</c:v>
                </c:pt>
                <c:pt idx="61">
                  <c:v>0.12200000000000009</c:v>
                </c:pt>
                <c:pt idx="62">
                  <c:v>0.1240000000000001</c:v>
                </c:pt>
                <c:pt idx="63">
                  <c:v>0.12600000000000008</c:v>
                </c:pt>
                <c:pt idx="64">
                  <c:v>0.12800000000000009</c:v>
                </c:pt>
                <c:pt idx="65">
                  <c:v>0.13000000000000009</c:v>
                </c:pt>
                <c:pt idx="66">
                  <c:v>0.13200000000000009</c:v>
                </c:pt>
                <c:pt idx="67">
                  <c:v>0.13400000000000009</c:v>
                </c:pt>
                <c:pt idx="68">
                  <c:v>0.13600000000000009</c:v>
                </c:pt>
                <c:pt idx="69">
                  <c:v>0.13800000000000009</c:v>
                </c:pt>
                <c:pt idx="70">
                  <c:v>0.1400000000000001</c:v>
                </c:pt>
                <c:pt idx="71">
                  <c:v>0.1420000000000001</c:v>
                </c:pt>
                <c:pt idx="72">
                  <c:v>0.1440000000000001</c:v>
                </c:pt>
                <c:pt idx="73">
                  <c:v>0.1460000000000001</c:v>
                </c:pt>
                <c:pt idx="74">
                  <c:v>0.1480000000000001</c:v>
                </c:pt>
                <c:pt idx="75">
                  <c:v>0.15000000000000011</c:v>
                </c:pt>
                <c:pt idx="76">
                  <c:v>0.15200000000000011</c:v>
                </c:pt>
                <c:pt idx="77">
                  <c:v>0.15400000000000011</c:v>
                </c:pt>
                <c:pt idx="78">
                  <c:v>0.15600000000000011</c:v>
                </c:pt>
                <c:pt idx="79">
                  <c:v>0.15800000000000011</c:v>
                </c:pt>
                <c:pt idx="80">
                  <c:v>0.16000000000000011</c:v>
                </c:pt>
                <c:pt idx="81">
                  <c:v>0.16200000000000012</c:v>
                </c:pt>
                <c:pt idx="82">
                  <c:v>0.16400000000000012</c:v>
                </c:pt>
                <c:pt idx="83">
                  <c:v>0.16600000000000012</c:v>
                </c:pt>
                <c:pt idx="84">
                  <c:v>0.16800000000000012</c:v>
                </c:pt>
                <c:pt idx="85">
                  <c:v>0.17000000000000012</c:v>
                </c:pt>
                <c:pt idx="86">
                  <c:v>0.17200000000000013</c:v>
                </c:pt>
                <c:pt idx="87">
                  <c:v>0.17400000000000013</c:v>
                </c:pt>
                <c:pt idx="88">
                  <c:v>0.17600000000000013</c:v>
                </c:pt>
                <c:pt idx="89">
                  <c:v>0.17800000000000013</c:v>
                </c:pt>
                <c:pt idx="90">
                  <c:v>0.18000000000000013</c:v>
                </c:pt>
                <c:pt idx="91">
                  <c:v>0.18200000000000013</c:v>
                </c:pt>
                <c:pt idx="92">
                  <c:v>0.18400000000000014</c:v>
                </c:pt>
                <c:pt idx="93">
                  <c:v>0.18600000000000014</c:v>
                </c:pt>
                <c:pt idx="94">
                  <c:v>0.18800000000000014</c:v>
                </c:pt>
                <c:pt idx="95">
                  <c:v>0.19000000000000014</c:v>
                </c:pt>
                <c:pt idx="96">
                  <c:v>0.19200000000000014</c:v>
                </c:pt>
                <c:pt idx="97">
                  <c:v>0.19400000000000014</c:v>
                </c:pt>
                <c:pt idx="98">
                  <c:v>0.19600000000000015</c:v>
                </c:pt>
                <c:pt idx="99">
                  <c:v>0.19800000000000015</c:v>
                </c:pt>
                <c:pt idx="100">
                  <c:v>0.20000000000000015</c:v>
                </c:pt>
              </c:numCache>
            </c:numRef>
          </c:xVal>
          <c:yVal>
            <c:numRef>
              <c:f>plot!$N$4:$N$104</c:f>
              <c:numCache>
                <c:formatCode>0.00</c:formatCode>
                <c:ptCount val="101"/>
                <c:pt idx="0">
                  <c:v>-1.6268845053029644E-4</c:v>
                </c:pt>
                <c:pt idx="1">
                  <c:v>5.4215168674802599E-3</c:v>
                </c:pt>
                <c:pt idx="2">
                  <c:v>1.1112928533114699E-2</c:v>
                </c:pt>
                <c:pt idx="3">
                  <c:v>1.7128527671647971E-2</c:v>
                </c:pt>
                <c:pt idx="4">
                  <c:v>2.3681766370085545E-2</c:v>
                </c:pt>
                <c:pt idx="5">
                  <c:v>2.9452815940221654E-2</c:v>
                </c:pt>
                <c:pt idx="6">
                  <c:v>3.5078368442346984E-2</c:v>
                </c:pt>
                <c:pt idx="7">
                  <c:v>4.024106762174165E-2</c:v>
                </c:pt>
                <c:pt idx="8">
                  <c:v>4.3471691638142018E-2</c:v>
                </c:pt>
                <c:pt idx="9">
                  <c:v>4.6146863320093393E-2</c:v>
                </c:pt>
                <c:pt idx="10">
                  <c:v>4.7355704696716912E-2</c:v>
                </c:pt>
                <c:pt idx="11">
                  <c:v>4.8482608268066989E-2</c:v>
                </c:pt>
                <c:pt idx="12">
                  <c:v>4.9083580068470155E-2</c:v>
                </c:pt>
                <c:pt idx="13">
                  <c:v>5.0642397838068419E-2</c:v>
                </c:pt>
                <c:pt idx="14">
                  <c:v>5.0405654866608945E-2</c:v>
                </c:pt>
                <c:pt idx="15">
                  <c:v>4.9614562086170926E-2</c:v>
                </c:pt>
                <c:pt idx="16">
                  <c:v>4.9578609650193964E-2</c:v>
                </c:pt>
                <c:pt idx="17">
                  <c:v>5.0540276047570012E-2</c:v>
                </c:pt>
                <c:pt idx="18">
                  <c:v>5.0092730751898636E-2</c:v>
                </c:pt>
                <c:pt idx="19">
                  <c:v>5.0067362110319112E-2</c:v>
                </c:pt>
                <c:pt idx="20">
                  <c:v>4.9244155347494142E-2</c:v>
                </c:pt>
                <c:pt idx="21">
                  <c:v>4.8473283533556413E-2</c:v>
                </c:pt>
                <c:pt idx="22">
                  <c:v>4.6759777637690549E-2</c:v>
                </c:pt>
                <c:pt idx="23">
                  <c:v>4.3537851844274875E-2</c:v>
                </c:pt>
                <c:pt idx="24">
                  <c:v>4.0583989063330494E-2</c:v>
                </c:pt>
                <c:pt idx="25">
                  <c:v>3.6444919328906929E-2</c:v>
                </c:pt>
                <c:pt idx="26">
                  <c:v>3.1656588003344019E-2</c:v>
                </c:pt>
                <c:pt idx="27">
                  <c:v>2.5678220078091972E-2</c:v>
                </c:pt>
                <c:pt idx="28">
                  <c:v>1.8486929345688932E-2</c:v>
                </c:pt>
                <c:pt idx="29">
                  <c:v>1.2783366474007969E-2</c:v>
                </c:pt>
                <c:pt idx="30">
                  <c:v>6.9385472745836533E-3</c:v>
                </c:pt>
                <c:pt idx="31">
                  <c:v>1.2461140518939626E-3</c:v>
                </c:pt>
                <c:pt idx="32">
                  <c:v>-3.0524851831287272E-3</c:v>
                </c:pt>
                <c:pt idx="33">
                  <c:v>-8.9283998092115069E-3</c:v>
                </c:pt>
                <c:pt idx="34">
                  <c:v>-1.5203535665198078E-2</c:v>
                </c:pt>
                <c:pt idx="35">
                  <c:v>-2.1764360453485326E-2</c:v>
                </c:pt>
                <c:pt idx="36">
                  <c:v>-2.8010775768409536E-2</c:v>
                </c:pt>
                <c:pt idx="37">
                  <c:v>-3.4254855318119587E-2</c:v>
                </c:pt>
                <c:pt idx="38">
                  <c:v>-3.8384724944095408E-2</c:v>
                </c:pt>
                <c:pt idx="39">
                  <c:v>-4.2575309251452281E-2</c:v>
                </c:pt>
                <c:pt idx="40">
                  <c:v>-4.6185636002653851E-2</c:v>
                </c:pt>
                <c:pt idx="41">
                  <c:v>-4.7132024448506706E-2</c:v>
                </c:pt>
                <c:pt idx="42">
                  <c:v>-4.9101515474319291E-2</c:v>
                </c:pt>
                <c:pt idx="43">
                  <c:v>-5.0282961738590454E-2</c:v>
                </c:pt>
                <c:pt idx="44">
                  <c:v>-5.0146703545101222E-2</c:v>
                </c:pt>
                <c:pt idx="45">
                  <c:v>-4.9633454057876399E-2</c:v>
                </c:pt>
                <c:pt idx="46">
                  <c:v>-5.0319208471324574E-2</c:v>
                </c:pt>
                <c:pt idx="47">
                  <c:v>-5.0595303633035306E-2</c:v>
                </c:pt>
                <c:pt idx="48">
                  <c:v>-4.9403331925922556E-2</c:v>
                </c:pt>
                <c:pt idx="49">
                  <c:v>-4.9549930881749159E-2</c:v>
                </c:pt>
                <c:pt idx="50">
                  <c:v>-4.9695283068282164E-2</c:v>
                </c:pt>
                <c:pt idx="51">
                  <c:v>-4.9010127455760714E-2</c:v>
                </c:pt>
                <c:pt idx="52">
                  <c:v>-4.832236990047873E-2</c:v>
                </c:pt>
                <c:pt idx="53">
                  <c:v>-4.6482920534391382E-2</c:v>
                </c:pt>
                <c:pt idx="54">
                  <c:v>-4.5226877197647251E-2</c:v>
                </c:pt>
                <c:pt idx="55">
                  <c:v>-4.2305149953364415E-2</c:v>
                </c:pt>
                <c:pt idx="56">
                  <c:v>-3.8031765452007149E-2</c:v>
                </c:pt>
                <c:pt idx="57">
                  <c:v>-3.2489007136963864E-2</c:v>
                </c:pt>
                <c:pt idx="58">
                  <c:v>-2.6827994190119681E-2</c:v>
                </c:pt>
                <c:pt idx="59">
                  <c:v>-2.0746421760076544E-2</c:v>
                </c:pt>
                <c:pt idx="60">
                  <c:v>-1.4403239006093931E-2</c:v>
                </c:pt>
                <c:pt idx="61">
                  <c:v>-7.9862926080849894E-3</c:v>
                </c:pt>
                <c:pt idx="62">
                  <c:v>-2.7257322212098575E-3</c:v>
                </c:pt>
                <c:pt idx="63">
                  <c:v>2.2326664600835098E-3</c:v>
                </c:pt>
                <c:pt idx="64">
                  <c:v>7.3653695741393516E-3</c:v>
                </c:pt>
                <c:pt idx="65">
                  <c:v>1.386617321046802E-2</c:v>
                </c:pt>
                <c:pt idx="66">
                  <c:v>2.1193811156411363E-2</c:v>
                </c:pt>
                <c:pt idx="67">
                  <c:v>2.676977671479467E-2</c:v>
                </c:pt>
                <c:pt idx="68">
                  <c:v>3.2482361468275101E-2</c:v>
                </c:pt>
                <c:pt idx="69">
                  <c:v>3.8229826907939045E-2</c:v>
                </c:pt>
                <c:pt idx="70">
                  <c:v>4.2229942474560071E-2</c:v>
                </c:pt>
                <c:pt idx="71">
                  <c:v>4.5474711298288201E-2</c:v>
                </c:pt>
                <c:pt idx="72">
                  <c:v>4.7429026699822963E-2</c:v>
                </c:pt>
                <c:pt idx="73">
                  <c:v>4.7964948787775949E-2</c:v>
                </c:pt>
                <c:pt idx="74">
                  <c:v>4.998856653789456E-2</c:v>
                </c:pt>
                <c:pt idx="75">
                  <c:v>5.0222540861046827E-2</c:v>
                </c:pt>
                <c:pt idx="76">
                  <c:v>5.0159164262406242E-2</c:v>
                </c:pt>
                <c:pt idx="77">
                  <c:v>4.9677652884394997E-2</c:v>
                </c:pt>
                <c:pt idx="78">
                  <c:v>4.959760586264781E-2</c:v>
                </c:pt>
                <c:pt idx="79">
                  <c:v>5.0290301408954331E-2</c:v>
                </c:pt>
                <c:pt idx="80">
                  <c:v>5.0656012932771548E-2</c:v>
                </c:pt>
                <c:pt idx="81">
                  <c:v>4.9520209251981674E-2</c:v>
                </c:pt>
                <c:pt idx="82">
                  <c:v>4.9750854053395015E-2</c:v>
                </c:pt>
                <c:pt idx="83">
                  <c:v>4.9222094194924661E-2</c:v>
                </c:pt>
                <c:pt idx="84">
                  <c:v>4.6942885042598435E-2</c:v>
                </c:pt>
                <c:pt idx="85">
                  <c:v>4.5988515904983145E-2</c:v>
                </c:pt>
                <c:pt idx="86">
                  <c:v>4.2436170877085913E-2</c:v>
                </c:pt>
                <c:pt idx="87">
                  <c:v>3.8277171734383851E-2</c:v>
                </c:pt>
                <c:pt idx="88">
                  <c:v>3.3775828758286414E-2</c:v>
                </c:pt>
                <c:pt idx="89">
                  <c:v>2.8183443644726833E-2</c:v>
                </c:pt>
                <c:pt idx="90">
                  <c:v>2.1820624999556691E-2</c:v>
                </c:pt>
                <c:pt idx="91">
                  <c:v>1.5924893886643261E-2</c:v>
                </c:pt>
                <c:pt idx="92">
                  <c:v>9.0342406275765036E-3</c:v>
                </c:pt>
                <c:pt idx="93">
                  <c:v>3.5850378777499254E-3</c:v>
                </c:pt>
                <c:pt idx="94">
                  <c:v>-9.6813579018226268E-4</c:v>
                </c:pt>
                <c:pt idx="95">
                  <c:v>-6.7744532568052712E-3</c:v>
                </c:pt>
                <c:pt idx="96">
                  <c:v>-1.2935593102105335E-2</c:v>
                </c:pt>
                <c:pt idx="97">
                  <c:v>-1.9553778834078155E-2</c:v>
                </c:pt>
                <c:pt idx="98">
                  <c:v>-2.4688930412879909E-2</c:v>
                </c:pt>
                <c:pt idx="99">
                  <c:v>-3.0999178655065063E-2</c:v>
                </c:pt>
                <c:pt idx="100">
                  <c:v>-3.6106056019920021E-2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F6-4A11-8589-ADB7D1E9F2A2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plot!$L$4:$L$104</c:f>
              <c:numCache>
                <c:formatCode>General</c:formatCode>
                <c:ptCount val="10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  <c:pt idx="51">
                  <c:v>0.10200000000000008</c:v>
                </c:pt>
                <c:pt idx="52">
                  <c:v>0.10400000000000008</c:v>
                </c:pt>
                <c:pt idx="53">
                  <c:v>0.10600000000000008</c:v>
                </c:pt>
                <c:pt idx="54">
                  <c:v>0.10800000000000008</c:v>
                </c:pt>
                <c:pt idx="55">
                  <c:v>0.11000000000000008</c:v>
                </c:pt>
                <c:pt idx="56">
                  <c:v>0.11200000000000009</c:v>
                </c:pt>
                <c:pt idx="57">
                  <c:v>0.11400000000000009</c:v>
                </c:pt>
                <c:pt idx="58">
                  <c:v>0.11600000000000009</c:v>
                </c:pt>
                <c:pt idx="59">
                  <c:v>0.11800000000000009</c:v>
                </c:pt>
                <c:pt idx="60">
                  <c:v>0.12000000000000009</c:v>
                </c:pt>
                <c:pt idx="61">
                  <c:v>0.12200000000000009</c:v>
                </c:pt>
                <c:pt idx="62">
                  <c:v>0.1240000000000001</c:v>
                </c:pt>
                <c:pt idx="63">
                  <c:v>0.12600000000000008</c:v>
                </c:pt>
                <c:pt idx="64">
                  <c:v>0.12800000000000009</c:v>
                </c:pt>
                <c:pt idx="65">
                  <c:v>0.13000000000000009</c:v>
                </c:pt>
                <c:pt idx="66">
                  <c:v>0.13200000000000009</c:v>
                </c:pt>
                <c:pt idx="67">
                  <c:v>0.13400000000000009</c:v>
                </c:pt>
                <c:pt idx="68">
                  <c:v>0.13600000000000009</c:v>
                </c:pt>
                <c:pt idx="69">
                  <c:v>0.13800000000000009</c:v>
                </c:pt>
                <c:pt idx="70">
                  <c:v>0.1400000000000001</c:v>
                </c:pt>
                <c:pt idx="71">
                  <c:v>0.1420000000000001</c:v>
                </c:pt>
                <c:pt idx="72">
                  <c:v>0.1440000000000001</c:v>
                </c:pt>
                <c:pt idx="73">
                  <c:v>0.1460000000000001</c:v>
                </c:pt>
                <c:pt idx="74">
                  <c:v>0.1480000000000001</c:v>
                </c:pt>
                <c:pt idx="75">
                  <c:v>0.15000000000000011</c:v>
                </c:pt>
                <c:pt idx="76">
                  <c:v>0.15200000000000011</c:v>
                </c:pt>
                <c:pt idx="77">
                  <c:v>0.15400000000000011</c:v>
                </c:pt>
                <c:pt idx="78">
                  <c:v>0.15600000000000011</c:v>
                </c:pt>
                <c:pt idx="79">
                  <c:v>0.15800000000000011</c:v>
                </c:pt>
                <c:pt idx="80">
                  <c:v>0.16000000000000011</c:v>
                </c:pt>
                <c:pt idx="81">
                  <c:v>0.16200000000000012</c:v>
                </c:pt>
                <c:pt idx="82">
                  <c:v>0.16400000000000012</c:v>
                </c:pt>
                <c:pt idx="83">
                  <c:v>0.16600000000000012</c:v>
                </c:pt>
                <c:pt idx="84">
                  <c:v>0.16800000000000012</c:v>
                </c:pt>
                <c:pt idx="85">
                  <c:v>0.17000000000000012</c:v>
                </c:pt>
                <c:pt idx="86">
                  <c:v>0.17200000000000013</c:v>
                </c:pt>
                <c:pt idx="87">
                  <c:v>0.17400000000000013</c:v>
                </c:pt>
                <c:pt idx="88">
                  <c:v>0.17600000000000013</c:v>
                </c:pt>
                <c:pt idx="89">
                  <c:v>0.17800000000000013</c:v>
                </c:pt>
                <c:pt idx="90">
                  <c:v>0.18000000000000013</c:v>
                </c:pt>
                <c:pt idx="91">
                  <c:v>0.18200000000000013</c:v>
                </c:pt>
                <c:pt idx="92">
                  <c:v>0.18400000000000014</c:v>
                </c:pt>
                <c:pt idx="93">
                  <c:v>0.18600000000000014</c:v>
                </c:pt>
                <c:pt idx="94">
                  <c:v>0.18800000000000014</c:v>
                </c:pt>
                <c:pt idx="95">
                  <c:v>0.19000000000000014</c:v>
                </c:pt>
                <c:pt idx="96">
                  <c:v>0.19200000000000014</c:v>
                </c:pt>
                <c:pt idx="97">
                  <c:v>0.19400000000000014</c:v>
                </c:pt>
                <c:pt idx="98">
                  <c:v>0.19600000000000015</c:v>
                </c:pt>
                <c:pt idx="99">
                  <c:v>0.19800000000000015</c:v>
                </c:pt>
                <c:pt idx="100">
                  <c:v>0.20000000000000015</c:v>
                </c:pt>
              </c:numCache>
            </c:numRef>
          </c:xVal>
          <c:yVal>
            <c:numRef>
              <c:f>plot!$O$4:$O$104</c:f>
              <c:numCache>
                <c:formatCode>0.00</c:formatCode>
                <c:ptCount val="101"/>
                <c:pt idx="0">
                  <c:v>-2.548937590253156E-4</c:v>
                </c:pt>
                <c:pt idx="1">
                  <c:v>5.2898362219413186E-3</c:v>
                </c:pt>
                <c:pt idx="2">
                  <c:v>1.1360793085155739E-2</c:v>
                </c:pt>
                <c:pt idx="3">
                  <c:v>1.8293316687715128E-2</c:v>
                </c:pt>
                <c:pt idx="4">
                  <c:v>2.5623440243537191E-2</c:v>
                </c:pt>
                <c:pt idx="5">
                  <c:v>3.2762447341789416E-2</c:v>
                </c:pt>
                <c:pt idx="6">
                  <c:v>3.7596080487947596E-2</c:v>
                </c:pt>
                <c:pt idx="7">
                  <c:v>4.3485810004714229E-2</c:v>
                </c:pt>
                <c:pt idx="8">
                  <c:v>4.6707826800390852E-2</c:v>
                </c:pt>
                <c:pt idx="9">
                  <c:v>4.9716389597134189E-2</c:v>
                </c:pt>
                <c:pt idx="10">
                  <c:v>5.2506235116524289E-2</c:v>
                </c:pt>
                <c:pt idx="11">
                  <c:v>5.3482402804837209E-2</c:v>
                </c:pt>
                <c:pt idx="12">
                  <c:v>5.3822204964193272E-2</c:v>
                </c:pt>
                <c:pt idx="13">
                  <c:v>5.4012785440393195E-2</c:v>
                </c:pt>
                <c:pt idx="14">
                  <c:v>5.4519312420811455E-2</c:v>
                </c:pt>
                <c:pt idx="15">
                  <c:v>5.4153311219322604E-2</c:v>
                </c:pt>
                <c:pt idx="16">
                  <c:v>5.3499449734488003E-2</c:v>
                </c:pt>
                <c:pt idx="17">
                  <c:v>5.3971047751950364E-2</c:v>
                </c:pt>
                <c:pt idx="18">
                  <c:v>5.3927175753277767E-2</c:v>
                </c:pt>
                <c:pt idx="19">
                  <c:v>5.4112554940365737E-2</c:v>
                </c:pt>
                <c:pt idx="20">
                  <c:v>5.3101118475836227E-2</c:v>
                </c:pt>
                <c:pt idx="21">
                  <c:v>5.2506376529579346E-2</c:v>
                </c:pt>
                <c:pt idx="22">
                  <c:v>5.066496637959049E-2</c:v>
                </c:pt>
                <c:pt idx="23">
                  <c:v>4.8042987441960901E-2</c:v>
                </c:pt>
                <c:pt idx="24">
                  <c:v>4.4537087047223714E-2</c:v>
                </c:pt>
                <c:pt idx="25">
                  <c:v>3.9403906577298926E-2</c:v>
                </c:pt>
                <c:pt idx="26">
                  <c:v>3.4253016603094176E-2</c:v>
                </c:pt>
                <c:pt idx="27">
                  <c:v>2.7402440706651297E-2</c:v>
                </c:pt>
                <c:pt idx="28">
                  <c:v>2.0988287950038764E-2</c:v>
                </c:pt>
                <c:pt idx="29">
                  <c:v>1.3445410271119587E-2</c:v>
                </c:pt>
                <c:pt idx="30">
                  <c:v>6.9933750580541913E-3</c:v>
                </c:pt>
                <c:pt idx="31">
                  <c:v>1.5628642395945939E-3</c:v>
                </c:pt>
                <c:pt idx="32">
                  <c:v>-4.1632222658417976E-3</c:v>
                </c:pt>
                <c:pt idx="33">
                  <c:v>-9.5641423536281141E-3</c:v>
                </c:pt>
                <c:pt idx="34">
                  <c:v>-1.7016392575828512E-2</c:v>
                </c:pt>
                <c:pt idx="35">
                  <c:v>-2.3531889685576478E-2</c:v>
                </c:pt>
                <c:pt idx="36">
                  <c:v>-3.0698848658316145E-2</c:v>
                </c:pt>
                <c:pt idx="37">
                  <c:v>-3.6415665173124376E-2</c:v>
                </c:pt>
                <c:pt idx="38">
                  <c:v>-4.1679137894869489E-2</c:v>
                </c:pt>
                <c:pt idx="39">
                  <c:v>-4.5788947478576141E-2</c:v>
                </c:pt>
                <c:pt idx="40">
                  <c:v>-4.8800677063461806E-2</c:v>
                </c:pt>
                <c:pt idx="41">
                  <c:v>-5.0883117747606781E-2</c:v>
                </c:pt>
                <c:pt idx="42">
                  <c:v>-5.2965724711728342E-2</c:v>
                </c:pt>
                <c:pt idx="43">
                  <c:v>-5.3980865236255442E-2</c:v>
                </c:pt>
                <c:pt idx="44">
                  <c:v>-5.3935415273225457E-2</c:v>
                </c:pt>
                <c:pt idx="45">
                  <c:v>-5.3376559274411831E-2</c:v>
                </c:pt>
                <c:pt idx="46">
                  <c:v>-5.3604307332049121E-2</c:v>
                </c:pt>
                <c:pt idx="47">
                  <c:v>-5.4123892261516086E-2</c:v>
                </c:pt>
                <c:pt idx="48">
                  <c:v>-5.3386142828962292E-2</c:v>
                </c:pt>
                <c:pt idx="49">
                  <c:v>-5.3998736739279123E-2</c:v>
                </c:pt>
                <c:pt idx="50">
                  <c:v>-5.3528131209261767E-2</c:v>
                </c:pt>
                <c:pt idx="51">
                  <c:v>-5.3448771722482212E-2</c:v>
                </c:pt>
                <c:pt idx="52">
                  <c:v>-5.2391252021399354E-2</c:v>
                </c:pt>
                <c:pt idx="53">
                  <c:v>-5.1146161425488015E-2</c:v>
                </c:pt>
                <c:pt idx="54">
                  <c:v>-4.8881673626051642E-2</c:v>
                </c:pt>
                <c:pt idx="55">
                  <c:v>-4.5433374018388727E-2</c:v>
                </c:pt>
                <c:pt idx="56">
                  <c:v>-4.0025037648597786E-2</c:v>
                </c:pt>
                <c:pt idx="57">
                  <c:v>-3.4560594857207486E-2</c:v>
                </c:pt>
                <c:pt idx="58">
                  <c:v>-2.8337435583913315E-2</c:v>
                </c:pt>
                <c:pt idx="59">
                  <c:v>-2.2492689554430432E-2</c:v>
                </c:pt>
                <c:pt idx="60">
                  <c:v>-1.5537097660061032E-2</c:v>
                </c:pt>
                <c:pt idx="61">
                  <c:v>-8.2791724654606904E-3</c:v>
                </c:pt>
                <c:pt idx="62">
                  <c:v>-2.9709975283052871E-3</c:v>
                </c:pt>
                <c:pt idx="63">
                  <c:v>2.5171337348251174E-3</c:v>
                </c:pt>
                <c:pt idx="64">
                  <c:v>8.5514135730351357E-3</c:v>
                </c:pt>
                <c:pt idx="65">
                  <c:v>1.5310170511023449E-2</c:v>
                </c:pt>
                <c:pt idx="66">
                  <c:v>2.2374926682885987E-2</c:v>
                </c:pt>
                <c:pt idx="67">
                  <c:v>2.9100018953738236E-2</c:v>
                </c:pt>
                <c:pt idx="68">
                  <c:v>3.5682948413777761E-2</c:v>
                </c:pt>
                <c:pt idx="69">
                  <c:v>4.0953533098779374E-2</c:v>
                </c:pt>
                <c:pt idx="70">
                  <c:v>4.5469453118987237E-2</c:v>
                </c:pt>
                <c:pt idx="71">
                  <c:v>4.8881212726978367E-2</c:v>
                </c:pt>
                <c:pt idx="72">
                  <c:v>5.0628909678554254E-2</c:v>
                </c:pt>
                <c:pt idx="73">
                  <c:v>5.3161802806310068E-2</c:v>
                </c:pt>
                <c:pt idx="74">
                  <c:v>5.3233411526010917E-2</c:v>
                </c:pt>
                <c:pt idx="75">
                  <c:v>5.3200577442914572E-2</c:v>
                </c:pt>
                <c:pt idx="76">
                  <c:v>5.4583263178047077E-2</c:v>
                </c:pt>
                <c:pt idx="77">
                  <c:v>5.4584635150101597E-2</c:v>
                </c:pt>
                <c:pt idx="78">
                  <c:v>5.3594488854139942E-2</c:v>
                </c:pt>
                <c:pt idx="79">
                  <c:v>5.4476887985506574E-2</c:v>
                </c:pt>
                <c:pt idx="80">
                  <c:v>5.4638095455753287E-2</c:v>
                </c:pt>
                <c:pt idx="81">
                  <c:v>5.3234847003655092E-2</c:v>
                </c:pt>
                <c:pt idx="82">
                  <c:v>5.3443812673217565E-2</c:v>
                </c:pt>
                <c:pt idx="83">
                  <c:v>5.2241593843702812E-2</c:v>
                </c:pt>
                <c:pt idx="84">
                  <c:v>5.0967666386361479E-2</c:v>
                </c:pt>
                <c:pt idx="85">
                  <c:v>4.9869822136268206E-2</c:v>
                </c:pt>
                <c:pt idx="86">
                  <c:v>4.5741684358982307E-2</c:v>
                </c:pt>
                <c:pt idx="87">
                  <c:v>4.2187387930807056E-2</c:v>
                </c:pt>
                <c:pt idx="88">
                  <c:v>3.6704827458163829E-2</c:v>
                </c:pt>
                <c:pt idx="89">
                  <c:v>3.0939359739556801E-2</c:v>
                </c:pt>
                <c:pt idx="90">
                  <c:v>2.3589765202708921E-2</c:v>
                </c:pt>
                <c:pt idx="91">
                  <c:v>1.6576032367976515E-2</c:v>
                </c:pt>
                <c:pt idx="92">
                  <c:v>1.0681820529496925E-2</c:v>
                </c:pt>
                <c:pt idx="93">
                  <c:v>4.3595936601756079E-3</c:v>
                </c:pt>
                <c:pt idx="94">
                  <c:v>-6.4643182013130092E-4</c:v>
                </c:pt>
                <c:pt idx="95">
                  <c:v>-7.4104785372286043E-3</c:v>
                </c:pt>
                <c:pt idx="96">
                  <c:v>-1.2912928073719675E-2</c:v>
                </c:pt>
                <c:pt idx="97">
                  <c:v>-2.0709159508274084E-2</c:v>
                </c:pt>
                <c:pt idx="98">
                  <c:v>-2.7940944339194595E-2</c:v>
                </c:pt>
                <c:pt idx="99">
                  <c:v>-3.4138265486577044E-2</c:v>
                </c:pt>
                <c:pt idx="100">
                  <c:v>-3.9439181405147801E-2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F6-4A11-8589-ADB7D1E9F2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4363488"/>
        <c:axId val="1974367232"/>
      </c:scatterChart>
      <c:valAx>
        <c:axId val="1974363488"/>
        <c:scaling>
          <c:orientation val="minMax"/>
          <c:max val="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74367232"/>
        <c:crosses val="autoZero"/>
        <c:crossBetween val="midCat"/>
      </c:valAx>
      <c:valAx>
        <c:axId val="197436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74363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Voltages</a:t>
            </a:r>
            <a:r>
              <a:rPr lang="en-US" baseline="0"/>
              <a:t> of all phases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plot!$M$3</c:f>
              <c:strCache>
                <c:ptCount val="1"/>
                <c:pt idx="0">
                  <c:v>U1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plot!$L$4:$L$104</c:f>
              <c:numCache>
                <c:formatCode>General</c:formatCode>
                <c:ptCount val="10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  <c:pt idx="51">
                  <c:v>0.10200000000000008</c:v>
                </c:pt>
                <c:pt idx="52">
                  <c:v>0.10400000000000008</c:v>
                </c:pt>
                <c:pt idx="53">
                  <c:v>0.10600000000000008</c:v>
                </c:pt>
                <c:pt idx="54">
                  <c:v>0.10800000000000008</c:v>
                </c:pt>
                <c:pt idx="55">
                  <c:v>0.11000000000000008</c:v>
                </c:pt>
                <c:pt idx="56">
                  <c:v>0.11200000000000009</c:v>
                </c:pt>
                <c:pt idx="57">
                  <c:v>0.11400000000000009</c:v>
                </c:pt>
                <c:pt idx="58">
                  <c:v>0.11600000000000009</c:v>
                </c:pt>
                <c:pt idx="59">
                  <c:v>0.11800000000000009</c:v>
                </c:pt>
                <c:pt idx="60">
                  <c:v>0.12000000000000009</c:v>
                </c:pt>
                <c:pt idx="61">
                  <c:v>0.12200000000000009</c:v>
                </c:pt>
                <c:pt idx="62">
                  <c:v>0.1240000000000001</c:v>
                </c:pt>
                <c:pt idx="63">
                  <c:v>0.12600000000000008</c:v>
                </c:pt>
                <c:pt idx="64">
                  <c:v>0.12800000000000009</c:v>
                </c:pt>
                <c:pt idx="65">
                  <c:v>0.13000000000000009</c:v>
                </c:pt>
                <c:pt idx="66">
                  <c:v>0.13200000000000009</c:v>
                </c:pt>
                <c:pt idx="67">
                  <c:v>0.13400000000000009</c:v>
                </c:pt>
                <c:pt idx="68">
                  <c:v>0.13600000000000009</c:v>
                </c:pt>
                <c:pt idx="69">
                  <c:v>0.13800000000000009</c:v>
                </c:pt>
                <c:pt idx="70">
                  <c:v>0.1400000000000001</c:v>
                </c:pt>
                <c:pt idx="71">
                  <c:v>0.1420000000000001</c:v>
                </c:pt>
                <c:pt idx="72">
                  <c:v>0.1440000000000001</c:v>
                </c:pt>
                <c:pt idx="73">
                  <c:v>0.1460000000000001</c:v>
                </c:pt>
                <c:pt idx="74">
                  <c:v>0.1480000000000001</c:v>
                </c:pt>
                <c:pt idx="75">
                  <c:v>0.15000000000000011</c:v>
                </c:pt>
                <c:pt idx="76">
                  <c:v>0.15200000000000011</c:v>
                </c:pt>
                <c:pt idx="77">
                  <c:v>0.15400000000000011</c:v>
                </c:pt>
                <c:pt idx="78">
                  <c:v>0.15600000000000011</c:v>
                </c:pt>
                <c:pt idx="79">
                  <c:v>0.15800000000000011</c:v>
                </c:pt>
                <c:pt idx="80">
                  <c:v>0.16000000000000011</c:v>
                </c:pt>
                <c:pt idx="81">
                  <c:v>0.16200000000000012</c:v>
                </c:pt>
                <c:pt idx="82">
                  <c:v>0.16400000000000012</c:v>
                </c:pt>
                <c:pt idx="83">
                  <c:v>0.16600000000000012</c:v>
                </c:pt>
                <c:pt idx="84">
                  <c:v>0.16800000000000012</c:v>
                </c:pt>
                <c:pt idx="85">
                  <c:v>0.17000000000000012</c:v>
                </c:pt>
                <c:pt idx="86">
                  <c:v>0.17200000000000013</c:v>
                </c:pt>
                <c:pt idx="87">
                  <c:v>0.17400000000000013</c:v>
                </c:pt>
                <c:pt idx="88">
                  <c:v>0.17600000000000013</c:v>
                </c:pt>
                <c:pt idx="89">
                  <c:v>0.17800000000000013</c:v>
                </c:pt>
                <c:pt idx="90">
                  <c:v>0.18000000000000013</c:v>
                </c:pt>
                <c:pt idx="91">
                  <c:v>0.18200000000000013</c:v>
                </c:pt>
                <c:pt idx="92">
                  <c:v>0.18400000000000014</c:v>
                </c:pt>
                <c:pt idx="93">
                  <c:v>0.18600000000000014</c:v>
                </c:pt>
                <c:pt idx="94">
                  <c:v>0.18800000000000014</c:v>
                </c:pt>
                <c:pt idx="95">
                  <c:v>0.19000000000000014</c:v>
                </c:pt>
                <c:pt idx="96">
                  <c:v>0.19200000000000014</c:v>
                </c:pt>
                <c:pt idx="97">
                  <c:v>0.19400000000000014</c:v>
                </c:pt>
                <c:pt idx="98">
                  <c:v>0.19600000000000015</c:v>
                </c:pt>
                <c:pt idx="99">
                  <c:v>0.19800000000000015</c:v>
                </c:pt>
                <c:pt idx="100">
                  <c:v>0.20000000000000015</c:v>
                </c:pt>
              </c:numCache>
            </c:numRef>
          </c:xVal>
          <c:yVal>
            <c:numRef>
              <c:f>plot!$M$4:$M$104</c:f>
              <c:numCache>
                <c:formatCode>0.00</c:formatCode>
                <c:ptCount val="101"/>
                <c:pt idx="0">
                  <c:v>-4.0004727806881316E-5</c:v>
                </c:pt>
                <c:pt idx="1">
                  <c:v>4.1782788100881837E-3</c:v>
                </c:pt>
                <c:pt idx="2">
                  <c:v>9.6988689296578882E-3</c:v>
                </c:pt>
                <c:pt idx="3">
                  <c:v>1.5803076715160364E-2</c:v>
                </c:pt>
                <c:pt idx="4">
                  <c:v>2.1539437790348604E-2</c:v>
                </c:pt>
                <c:pt idx="5">
                  <c:v>2.7392159466598353E-2</c:v>
                </c:pt>
                <c:pt idx="6">
                  <c:v>3.2509476967139087E-2</c:v>
                </c:pt>
                <c:pt idx="7">
                  <c:v>3.6183796686895524E-2</c:v>
                </c:pt>
                <c:pt idx="8">
                  <c:v>4.0059094493757386E-2</c:v>
                </c:pt>
                <c:pt idx="9">
                  <c:v>4.208655015764759E-2</c:v>
                </c:pt>
                <c:pt idx="10">
                  <c:v>4.4028557523512084E-2</c:v>
                </c:pt>
                <c:pt idx="11">
                  <c:v>4.5741469675798903E-2</c:v>
                </c:pt>
                <c:pt idx="12">
                  <c:v>4.5911464194543061E-2</c:v>
                </c:pt>
                <c:pt idx="13">
                  <c:v>4.6094452561653912E-2</c:v>
                </c:pt>
                <c:pt idx="14">
                  <c:v>4.5743476465045348E-2</c:v>
                </c:pt>
                <c:pt idx="15">
                  <c:v>4.629879386483296E-2</c:v>
                </c:pt>
                <c:pt idx="16">
                  <c:v>4.573848684292222E-2</c:v>
                </c:pt>
                <c:pt idx="17">
                  <c:v>4.6639129404129141E-2</c:v>
                </c:pt>
                <c:pt idx="18">
                  <c:v>4.5383139534439863E-2</c:v>
                </c:pt>
                <c:pt idx="19">
                  <c:v>4.5358807864648645E-2</c:v>
                </c:pt>
                <c:pt idx="20">
                  <c:v>4.5971705002985142E-2</c:v>
                </c:pt>
                <c:pt idx="21">
                  <c:v>4.4863826235455477E-2</c:v>
                </c:pt>
                <c:pt idx="22">
                  <c:v>4.2278546063587684E-2</c:v>
                </c:pt>
                <c:pt idx="23">
                  <c:v>4.0634899615577931E-2</c:v>
                </c:pt>
                <c:pt idx="24">
                  <c:v>3.7190438266888497E-2</c:v>
                </c:pt>
                <c:pt idx="25">
                  <c:v>3.3571200399597767E-2</c:v>
                </c:pt>
                <c:pt idx="26">
                  <c:v>2.905526419547062E-2</c:v>
                </c:pt>
                <c:pt idx="27">
                  <c:v>2.2677030142427026E-2</c:v>
                </c:pt>
                <c:pt idx="28">
                  <c:v>1.7710363043702611E-2</c:v>
                </c:pt>
                <c:pt idx="29">
                  <c:v>1.160498551564621E-2</c:v>
                </c:pt>
                <c:pt idx="30">
                  <c:v>6.4324865559934434E-3</c:v>
                </c:pt>
                <c:pt idx="31">
                  <c:v>1.610072238162844E-3</c:v>
                </c:pt>
                <c:pt idx="32">
                  <c:v>-3.6055174683470802E-3</c:v>
                </c:pt>
                <c:pt idx="33">
                  <c:v>-8.432471958918537E-3</c:v>
                </c:pt>
                <c:pt idx="34">
                  <c:v>-1.5083609232574336E-2</c:v>
                </c:pt>
                <c:pt idx="35">
                  <c:v>-2.080985399458795E-2</c:v>
                </c:pt>
                <c:pt idx="36">
                  <c:v>-2.5920098794189592E-2</c:v>
                </c:pt>
                <c:pt idx="37">
                  <c:v>-3.1713709621005427E-2</c:v>
                </c:pt>
                <c:pt idx="38">
                  <c:v>-3.563598112346239E-2</c:v>
                </c:pt>
                <c:pt idx="39">
                  <c:v>-3.9211519598064327E-2</c:v>
                </c:pt>
                <c:pt idx="40">
                  <c:v>-4.246912147566155E-2</c:v>
                </c:pt>
                <c:pt idx="41">
                  <c:v>-4.4232063140026194E-2</c:v>
                </c:pt>
                <c:pt idx="42">
                  <c:v>-4.4497234703957347E-2</c:v>
                </c:pt>
                <c:pt idx="43">
                  <c:v>-4.545063905061307E-2</c:v>
                </c:pt>
                <c:pt idx="44">
                  <c:v>-4.6224588727602545E-2</c:v>
                </c:pt>
                <c:pt idx="45">
                  <c:v>-4.6079785508539105E-2</c:v>
                </c:pt>
                <c:pt idx="46">
                  <c:v>-4.6025050177895377E-2</c:v>
                </c:pt>
                <c:pt idx="47">
                  <c:v>-4.5691919733215632E-2</c:v>
                </c:pt>
                <c:pt idx="48">
                  <c:v>-4.666648006822853E-2</c:v>
                </c:pt>
                <c:pt idx="49">
                  <c:v>-4.5540012222126246E-2</c:v>
                </c:pt>
                <c:pt idx="50">
                  <c:v>-4.558622769539139E-2</c:v>
                </c:pt>
                <c:pt idx="51">
                  <c:v>-4.5978109788223295E-2</c:v>
                </c:pt>
                <c:pt idx="52">
                  <c:v>-4.4709583303946067E-2</c:v>
                </c:pt>
                <c:pt idx="53">
                  <c:v>-4.3057771436606843E-2</c:v>
                </c:pt>
                <c:pt idx="54">
                  <c:v>-4.1437692335086283E-2</c:v>
                </c:pt>
                <c:pt idx="55">
                  <c:v>-3.7788851090791969E-2</c:v>
                </c:pt>
                <c:pt idx="56">
                  <c:v>-3.514662728994334E-2</c:v>
                </c:pt>
                <c:pt idx="57">
                  <c:v>-2.9310693673643494E-2</c:v>
                </c:pt>
                <c:pt idx="58">
                  <c:v>-2.5220628017285352E-2</c:v>
                </c:pt>
                <c:pt idx="59">
                  <c:v>-1.9426283510947016E-2</c:v>
                </c:pt>
                <c:pt idx="60">
                  <c:v>-1.2640260304199739E-2</c:v>
                </c:pt>
                <c:pt idx="61">
                  <c:v>-7.2131318982208009E-3</c:v>
                </c:pt>
                <c:pt idx="62">
                  <c:v>-2.2308020902351835E-3</c:v>
                </c:pt>
                <c:pt idx="63">
                  <c:v>2.5110265017891258E-3</c:v>
                </c:pt>
                <c:pt idx="64">
                  <c:v>7.3695316615413429E-3</c:v>
                </c:pt>
                <c:pt idx="65">
                  <c:v>1.2323099124935981E-2</c:v>
                </c:pt>
                <c:pt idx="66">
                  <c:v>1.8345188053195301E-2</c:v>
                </c:pt>
                <c:pt idx="67">
                  <c:v>2.4876920533077895E-2</c:v>
                </c:pt>
                <c:pt idx="68">
                  <c:v>2.9430112584620843E-2</c:v>
                </c:pt>
                <c:pt idx="69">
                  <c:v>3.4880712557376965E-2</c:v>
                </c:pt>
                <c:pt idx="70">
                  <c:v>3.8145297395174971E-2</c:v>
                </c:pt>
                <c:pt idx="71">
                  <c:v>4.144699137319767E-2</c:v>
                </c:pt>
                <c:pt idx="72">
                  <c:v>4.3425003647844226E-2</c:v>
                </c:pt>
                <c:pt idx="73">
                  <c:v>4.45334316481871E-2</c:v>
                </c:pt>
                <c:pt idx="74">
                  <c:v>4.5682894265576091E-2</c:v>
                </c:pt>
                <c:pt idx="75">
                  <c:v>4.5635370891412216E-2</c:v>
                </c:pt>
                <c:pt idx="76">
                  <c:v>4.6469731434825308E-2</c:v>
                </c:pt>
                <c:pt idx="77">
                  <c:v>4.5778552982316395E-2</c:v>
                </c:pt>
                <c:pt idx="78">
                  <c:v>4.5659553040628943E-2</c:v>
                </c:pt>
                <c:pt idx="79">
                  <c:v>4.5698865187438112E-2</c:v>
                </c:pt>
                <c:pt idx="80">
                  <c:v>4.5821985567270934E-2</c:v>
                </c:pt>
                <c:pt idx="81">
                  <c:v>4.63276852485087E-2</c:v>
                </c:pt>
                <c:pt idx="82">
                  <c:v>4.6316245970667858E-2</c:v>
                </c:pt>
                <c:pt idx="83">
                  <c:v>4.4343033410635703E-2</c:v>
                </c:pt>
                <c:pt idx="84">
                  <c:v>4.3638471748316962E-2</c:v>
                </c:pt>
                <c:pt idx="85">
                  <c:v>4.2160716347596133E-2</c:v>
                </c:pt>
                <c:pt idx="86">
                  <c:v>3.867693522437804E-2</c:v>
                </c:pt>
                <c:pt idx="87">
                  <c:v>3.5256929188584016E-2</c:v>
                </c:pt>
                <c:pt idx="88">
                  <c:v>3.0490353045432017E-2</c:v>
                </c:pt>
                <c:pt idx="89">
                  <c:v>2.6156435488153558E-2</c:v>
                </c:pt>
                <c:pt idx="90">
                  <c:v>2.0148554066921599E-2</c:v>
                </c:pt>
                <c:pt idx="91">
                  <c:v>1.3846963526313261E-2</c:v>
                </c:pt>
                <c:pt idx="92">
                  <c:v>8.8433613493624341E-3</c:v>
                </c:pt>
                <c:pt idx="93">
                  <c:v>3.5734680840851922E-3</c:v>
                </c:pt>
                <c:pt idx="94">
                  <c:v>-1.0126483177264067E-3</c:v>
                </c:pt>
                <c:pt idx="95">
                  <c:v>-6.1952785085476391E-3</c:v>
                </c:pt>
                <c:pt idx="96">
                  <c:v>-1.0905132202242304E-2</c:v>
                </c:pt>
                <c:pt idx="97">
                  <c:v>-1.6878008995978723E-2</c:v>
                </c:pt>
                <c:pt idx="98">
                  <c:v>-2.3104734924120265E-2</c:v>
                </c:pt>
                <c:pt idx="99">
                  <c:v>-2.8416542759773206E-2</c:v>
                </c:pt>
                <c:pt idx="100">
                  <c:v>-3.3317913098780474E-2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B4-4FF5-8B91-A26403B6FFC7}"/>
            </c:ext>
          </c:extLst>
        </c:ser>
        <c:ser>
          <c:idx val="1"/>
          <c:order val="1"/>
          <c:tx>
            <c:strRef>
              <c:f>plot!$N$3</c:f>
              <c:strCache>
                <c:ptCount val="1"/>
                <c:pt idx="0">
                  <c:v>U2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plot!$L$4:$L$104</c:f>
              <c:numCache>
                <c:formatCode>General</c:formatCode>
                <c:ptCount val="10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  <c:pt idx="51">
                  <c:v>0.10200000000000008</c:v>
                </c:pt>
                <c:pt idx="52">
                  <c:v>0.10400000000000008</c:v>
                </c:pt>
                <c:pt idx="53">
                  <c:v>0.10600000000000008</c:v>
                </c:pt>
                <c:pt idx="54">
                  <c:v>0.10800000000000008</c:v>
                </c:pt>
                <c:pt idx="55">
                  <c:v>0.11000000000000008</c:v>
                </c:pt>
                <c:pt idx="56">
                  <c:v>0.11200000000000009</c:v>
                </c:pt>
                <c:pt idx="57">
                  <c:v>0.11400000000000009</c:v>
                </c:pt>
                <c:pt idx="58">
                  <c:v>0.11600000000000009</c:v>
                </c:pt>
                <c:pt idx="59">
                  <c:v>0.11800000000000009</c:v>
                </c:pt>
                <c:pt idx="60">
                  <c:v>0.12000000000000009</c:v>
                </c:pt>
                <c:pt idx="61">
                  <c:v>0.12200000000000009</c:v>
                </c:pt>
                <c:pt idx="62">
                  <c:v>0.1240000000000001</c:v>
                </c:pt>
                <c:pt idx="63">
                  <c:v>0.12600000000000008</c:v>
                </c:pt>
                <c:pt idx="64">
                  <c:v>0.12800000000000009</c:v>
                </c:pt>
                <c:pt idx="65">
                  <c:v>0.13000000000000009</c:v>
                </c:pt>
                <c:pt idx="66">
                  <c:v>0.13200000000000009</c:v>
                </c:pt>
                <c:pt idx="67">
                  <c:v>0.13400000000000009</c:v>
                </c:pt>
                <c:pt idx="68">
                  <c:v>0.13600000000000009</c:v>
                </c:pt>
                <c:pt idx="69">
                  <c:v>0.13800000000000009</c:v>
                </c:pt>
                <c:pt idx="70">
                  <c:v>0.1400000000000001</c:v>
                </c:pt>
                <c:pt idx="71">
                  <c:v>0.1420000000000001</c:v>
                </c:pt>
                <c:pt idx="72">
                  <c:v>0.1440000000000001</c:v>
                </c:pt>
                <c:pt idx="73">
                  <c:v>0.1460000000000001</c:v>
                </c:pt>
                <c:pt idx="74">
                  <c:v>0.1480000000000001</c:v>
                </c:pt>
                <c:pt idx="75">
                  <c:v>0.15000000000000011</c:v>
                </c:pt>
                <c:pt idx="76">
                  <c:v>0.15200000000000011</c:v>
                </c:pt>
                <c:pt idx="77">
                  <c:v>0.15400000000000011</c:v>
                </c:pt>
                <c:pt idx="78">
                  <c:v>0.15600000000000011</c:v>
                </c:pt>
                <c:pt idx="79">
                  <c:v>0.15800000000000011</c:v>
                </c:pt>
                <c:pt idx="80">
                  <c:v>0.16000000000000011</c:v>
                </c:pt>
                <c:pt idx="81">
                  <c:v>0.16200000000000012</c:v>
                </c:pt>
                <c:pt idx="82">
                  <c:v>0.16400000000000012</c:v>
                </c:pt>
                <c:pt idx="83">
                  <c:v>0.16600000000000012</c:v>
                </c:pt>
                <c:pt idx="84">
                  <c:v>0.16800000000000012</c:v>
                </c:pt>
                <c:pt idx="85">
                  <c:v>0.17000000000000012</c:v>
                </c:pt>
                <c:pt idx="86">
                  <c:v>0.17200000000000013</c:v>
                </c:pt>
                <c:pt idx="87">
                  <c:v>0.17400000000000013</c:v>
                </c:pt>
                <c:pt idx="88">
                  <c:v>0.17600000000000013</c:v>
                </c:pt>
                <c:pt idx="89">
                  <c:v>0.17800000000000013</c:v>
                </c:pt>
                <c:pt idx="90">
                  <c:v>0.18000000000000013</c:v>
                </c:pt>
                <c:pt idx="91">
                  <c:v>0.18200000000000013</c:v>
                </c:pt>
                <c:pt idx="92">
                  <c:v>0.18400000000000014</c:v>
                </c:pt>
                <c:pt idx="93">
                  <c:v>0.18600000000000014</c:v>
                </c:pt>
                <c:pt idx="94">
                  <c:v>0.18800000000000014</c:v>
                </c:pt>
                <c:pt idx="95">
                  <c:v>0.19000000000000014</c:v>
                </c:pt>
                <c:pt idx="96">
                  <c:v>0.19200000000000014</c:v>
                </c:pt>
                <c:pt idx="97">
                  <c:v>0.19400000000000014</c:v>
                </c:pt>
                <c:pt idx="98">
                  <c:v>0.19600000000000015</c:v>
                </c:pt>
                <c:pt idx="99">
                  <c:v>0.19800000000000015</c:v>
                </c:pt>
                <c:pt idx="100">
                  <c:v>0.20000000000000015</c:v>
                </c:pt>
              </c:numCache>
            </c:numRef>
          </c:xVal>
          <c:yVal>
            <c:numRef>
              <c:f>plot!$N$4:$N$104</c:f>
              <c:numCache>
                <c:formatCode>0.00</c:formatCode>
                <c:ptCount val="101"/>
                <c:pt idx="0">
                  <c:v>-1.6268845053029644E-4</c:v>
                </c:pt>
                <c:pt idx="1">
                  <c:v>5.4215168674802599E-3</c:v>
                </c:pt>
                <c:pt idx="2">
                  <c:v>1.1112928533114699E-2</c:v>
                </c:pt>
                <c:pt idx="3">
                  <c:v>1.7128527671647971E-2</c:v>
                </c:pt>
                <c:pt idx="4">
                  <c:v>2.3681766370085545E-2</c:v>
                </c:pt>
                <c:pt idx="5">
                  <c:v>2.9452815940221654E-2</c:v>
                </c:pt>
                <c:pt idx="6">
                  <c:v>3.5078368442346984E-2</c:v>
                </c:pt>
                <c:pt idx="7">
                  <c:v>4.024106762174165E-2</c:v>
                </c:pt>
                <c:pt idx="8">
                  <c:v>4.3471691638142018E-2</c:v>
                </c:pt>
                <c:pt idx="9">
                  <c:v>4.6146863320093393E-2</c:v>
                </c:pt>
                <c:pt idx="10">
                  <c:v>4.7355704696716912E-2</c:v>
                </c:pt>
                <c:pt idx="11">
                  <c:v>4.8482608268066989E-2</c:v>
                </c:pt>
                <c:pt idx="12">
                  <c:v>4.9083580068470155E-2</c:v>
                </c:pt>
                <c:pt idx="13">
                  <c:v>5.0642397838068419E-2</c:v>
                </c:pt>
                <c:pt idx="14">
                  <c:v>5.0405654866608945E-2</c:v>
                </c:pt>
                <c:pt idx="15">
                  <c:v>4.9614562086170926E-2</c:v>
                </c:pt>
                <c:pt idx="16">
                  <c:v>4.9578609650193964E-2</c:v>
                </c:pt>
                <c:pt idx="17">
                  <c:v>5.0540276047570012E-2</c:v>
                </c:pt>
                <c:pt idx="18">
                  <c:v>5.0092730751898636E-2</c:v>
                </c:pt>
                <c:pt idx="19">
                  <c:v>5.0067362110319112E-2</c:v>
                </c:pt>
                <c:pt idx="20">
                  <c:v>4.9244155347494142E-2</c:v>
                </c:pt>
                <c:pt idx="21">
                  <c:v>4.8473283533556413E-2</c:v>
                </c:pt>
                <c:pt idx="22">
                  <c:v>4.6759777637690549E-2</c:v>
                </c:pt>
                <c:pt idx="23">
                  <c:v>4.3537851844274875E-2</c:v>
                </c:pt>
                <c:pt idx="24">
                  <c:v>4.0583989063330494E-2</c:v>
                </c:pt>
                <c:pt idx="25">
                  <c:v>3.6444919328906929E-2</c:v>
                </c:pt>
                <c:pt idx="26">
                  <c:v>3.1656588003344019E-2</c:v>
                </c:pt>
                <c:pt idx="27">
                  <c:v>2.5678220078091972E-2</c:v>
                </c:pt>
                <c:pt idx="28">
                  <c:v>1.8486929345688932E-2</c:v>
                </c:pt>
                <c:pt idx="29">
                  <c:v>1.2783366474007969E-2</c:v>
                </c:pt>
                <c:pt idx="30">
                  <c:v>6.9385472745836533E-3</c:v>
                </c:pt>
                <c:pt idx="31">
                  <c:v>1.2461140518939626E-3</c:v>
                </c:pt>
                <c:pt idx="32">
                  <c:v>-3.0524851831287272E-3</c:v>
                </c:pt>
                <c:pt idx="33">
                  <c:v>-8.9283998092115069E-3</c:v>
                </c:pt>
                <c:pt idx="34">
                  <c:v>-1.5203535665198078E-2</c:v>
                </c:pt>
                <c:pt idx="35">
                  <c:v>-2.1764360453485326E-2</c:v>
                </c:pt>
                <c:pt idx="36">
                  <c:v>-2.8010775768409536E-2</c:v>
                </c:pt>
                <c:pt idx="37">
                  <c:v>-3.4254855318119587E-2</c:v>
                </c:pt>
                <c:pt idx="38">
                  <c:v>-3.8384724944095408E-2</c:v>
                </c:pt>
                <c:pt idx="39">
                  <c:v>-4.2575309251452281E-2</c:v>
                </c:pt>
                <c:pt idx="40">
                  <c:v>-4.6185636002653851E-2</c:v>
                </c:pt>
                <c:pt idx="41">
                  <c:v>-4.7132024448506706E-2</c:v>
                </c:pt>
                <c:pt idx="42">
                  <c:v>-4.9101515474319291E-2</c:v>
                </c:pt>
                <c:pt idx="43">
                  <c:v>-5.0282961738590454E-2</c:v>
                </c:pt>
                <c:pt idx="44">
                  <c:v>-5.0146703545101222E-2</c:v>
                </c:pt>
                <c:pt idx="45">
                  <c:v>-4.9633454057876399E-2</c:v>
                </c:pt>
                <c:pt idx="46">
                  <c:v>-5.0319208471324574E-2</c:v>
                </c:pt>
                <c:pt idx="47">
                  <c:v>-5.0595303633035306E-2</c:v>
                </c:pt>
                <c:pt idx="48">
                  <c:v>-4.9403331925922556E-2</c:v>
                </c:pt>
                <c:pt idx="49">
                  <c:v>-4.9549930881749159E-2</c:v>
                </c:pt>
                <c:pt idx="50">
                  <c:v>-4.9695283068282164E-2</c:v>
                </c:pt>
                <c:pt idx="51">
                  <c:v>-4.9010127455760714E-2</c:v>
                </c:pt>
                <c:pt idx="52">
                  <c:v>-4.832236990047873E-2</c:v>
                </c:pt>
                <c:pt idx="53">
                  <c:v>-4.6482920534391382E-2</c:v>
                </c:pt>
                <c:pt idx="54">
                  <c:v>-4.5226877197647251E-2</c:v>
                </c:pt>
                <c:pt idx="55">
                  <c:v>-4.2305149953364415E-2</c:v>
                </c:pt>
                <c:pt idx="56">
                  <c:v>-3.8031765452007149E-2</c:v>
                </c:pt>
                <c:pt idx="57">
                  <c:v>-3.2489007136963864E-2</c:v>
                </c:pt>
                <c:pt idx="58">
                  <c:v>-2.6827994190119681E-2</c:v>
                </c:pt>
                <c:pt idx="59">
                  <c:v>-2.0746421760076544E-2</c:v>
                </c:pt>
                <c:pt idx="60">
                  <c:v>-1.4403239006093931E-2</c:v>
                </c:pt>
                <c:pt idx="61">
                  <c:v>-7.9862926080849894E-3</c:v>
                </c:pt>
                <c:pt idx="62">
                  <c:v>-2.7257322212098575E-3</c:v>
                </c:pt>
                <c:pt idx="63">
                  <c:v>2.2326664600835098E-3</c:v>
                </c:pt>
                <c:pt idx="64">
                  <c:v>7.3653695741393516E-3</c:v>
                </c:pt>
                <c:pt idx="65">
                  <c:v>1.386617321046802E-2</c:v>
                </c:pt>
                <c:pt idx="66">
                  <c:v>2.1193811156411363E-2</c:v>
                </c:pt>
                <c:pt idx="67">
                  <c:v>2.676977671479467E-2</c:v>
                </c:pt>
                <c:pt idx="68">
                  <c:v>3.2482361468275101E-2</c:v>
                </c:pt>
                <c:pt idx="69">
                  <c:v>3.8229826907939045E-2</c:v>
                </c:pt>
                <c:pt idx="70">
                  <c:v>4.2229942474560071E-2</c:v>
                </c:pt>
                <c:pt idx="71">
                  <c:v>4.5474711298288201E-2</c:v>
                </c:pt>
                <c:pt idx="72">
                  <c:v>4.7429026699822963E-2</c:v>
                </c:pt>
                <c:pt idx="73">
                  <c:v>4.7964948787775949E-2</c:v>
                </c:pt>
                <c:pt idx="74">
                  <c:v>4.998856653789456E-2</c:v>
                </c:pt>
                <c:pt idx="75">
                  <c:v>5.0222540861046827E-2</c:v>
                </c:pt>
                <c:pt idx="76">
                  <c:v>5.0159164262406242E-2</c:v>
                </c:pt>
                <c:pt idx="77">
                  <c:v>4.9677652884394997E-2</c:v>
                </c:pt>
                <c:pt idx="78">
                  <c:v>4.959760586264781E-2</c:v>
                </c:pt>
                <c:pt idx="79">
                  <c:v>5.0290301408954331E-2</c:v>
                </c:pt>
                <c:pt idx="80">
                  <c:v>5.0656012932771548E-2</c:v>
                </c:pt>
                <c:pt idx="81">
                  <c:v>4.9520209251981674E-2</c:v>
                </c:pt>
                <c:pt idx="82">
                  <c:v>4.9750854053395015E-2</c:v>
                </c:pt>
                <c:pt idx="83">
                  <c:v>4.9222094194924661E-2</c:v>
                </c:pt>
                <c:pt idx="84">
                  <c:v>4.6942885042598435E-2</c:v>
                </c:pt>
                <c:pt idx="85">
                  <c:v>4.5988515904983145E-2</c:v>
                </c:pt>
                <c:pt idx="86">
                  <c:v>4.2436170877085913E-2</c:v>
                </c:pt>
                <c:pt idx="87">
                  <c:v>3.8277171734383851E-2</c:v>
                </c:pt>
                <c:pt idx="88">
                  <c:v>3.3775828758286414E-2</c:v>
                </c:pt>
                <c:pt idx="89">
                  <c:v>2.8183443644726833E-2</c:v>
                </c:pt>
                <c:pt idx="90">
                  <c:v>2.1820624999556691E-2</c:v>
                </c:pt>
                <c:pt idx="91">
                  <c:v>1.5924893886643261E-2</c:v>
                </c:pt>
                <c:pt idx="92">
                  <c:v>9.0342406275765036E-3</c:v>
                </c:pt>
                <c:pt idx="93">
                  <c:v>3.5850378777499254E-3</c:v>
                </c:pt>
                <c:pt idx="94">
                  <c:v>-9.6813579018226268E-4</c:v>
                </c:pt>
                <c:pt idx="95">
                  <c:v>-6.7744532568052712E-3</c:v>
                </c:pt>
                <c:pt idx="96">
                  <c:v>-1.2935593102105335E-2</c:v>
                </c:pt>
                <c:pt idx="97">
                  <c:v>-1.9553778834078155E-2</c:v>
                </c:pt>
                <c:pt idx="98">
                  <c:v>-2.4688930412879909E-2</c:v>
                </c:pt>
                <c:pt idx="99">
                  <c:v>-3.0999178655065063E-2</c:v>
                </c:pt>
                <c:pt idx="100">
                  <c:v>-3.6106056019920021E-2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B4-4FF5-8B91-A26403B6FFC7}"/>
            </c:ext>
          </c:extLst>
        </c:ser>
        <c:ser>
          <c:idx val="2"/>
          <c:order val="2"/>
          <c:tx>
            <c:strRef>
              <c:f>plot!$O$3</c:f>
              <c:strCache>
                <c:ptCount val="1"/>
                <c:pt idx="0">
                  <c:v>U3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plot!$L$4:$L$104</c:f>
              <c:numCache>
                <c:formatCode>General</c:formatCode>
                <c:ptCount val="10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  <c:pt idx="51">
                  <c:v>0.10200000000000008</c:v>
                </c:pt>
                <c:pt idx="52">
                  <c:v>0.10400000000000008</c:v>
                </c:pt>
                <c:pt idx="53">
                  <c:v>0.10600000000000008</c:v>
                </c:pt>
                <c:pt idx="54">
                  <c:v>0.10800000000000008</c:v>
                </c:pt>
                <c:pt idx="55">
                  <c:v>0.11000000000000008</c:v>
                </c:pt>
                <c:pt idx="56">
                  <c:v>0.11200000000000009</c:v>
                </c:pt>
                <c:pt idx="57">
                  <c:v>0.11400000000000009</c:v>
                </c:pt>
                <c:pt idx="58">
                  <c:v>0.11600000000000009</c:v>
                </c:pt>
                <c:pt idx="59">
                  <c:v>0.11800000000000009</c:v>
                </c:pt>
                <c:pt idx="60">
                  <c:v>0.12000000000000009</c:v>
                </c:pt>
                <c:pt idx="61">
                  <c:v>0.12200000000000009</c:v>
                </c:pt>
                <c:pt idx="62">
                  <c:v>0.1240000000000001</c:v>
                </c:pt>
                <c:pt idx="63">
                  <c:v>0.12600000000000008</c:v>
                </c:pt>
                <c:pt idx="64">
                  <c:v>0.12800000000000009</c:v>
                </c:pt>
                <c:pt idx="65">
                  <c:v>0.13000000000000009</c:v>
                </c:pt>
                <c:pt idx="66">
                  <c:v>0.13200000000000009</c:v>
                </c:pt>
                <c:pt idx="67">
                  <c:v>0.13400000000000009</c:v>
                </c:pt>
                <c:pt idx="68">
                  <c:v>0.13600000000000009</c:v>
                </c:pt>
                <c:pt idx="69">
                  <c:v>0.13800000000000009</c:v>
                </c:pt>
                <c:pt idx="70">
                  <c:v>0.1400000000000001</c:v>
                </c:pt>
                <c:pt idx="71">
                  <c:v>0.1420000000000001</c:v>
                </c:pt>
                <c:pt idx="72">
                  <c:v>0.1440000000000001</c:v>
                </c:pt>
                <c:pt idx="73">
                  <c:v>0.1460000000000001</c:v>
                </c:pt>
                <c:pt idx="74">
                  <c:v>0.1480000000000001</c:v>
                </c:pt>
                <c:pt idx="75">
                  <c:v>0.15000000000000011</c:v>
                </c:pt>
                <c:pt idx="76">
                  <c:v>0.15200000000000011</c:v>
                </c:pt>
                <c:pt idx="77">
                  <c:v>0.15400000000000011</c:v>
                </c:pt>
                <c:pt idx="78">
                  <c:v>0.15600000000000011</c:v>
                </c:pt>
                <c:pt idx="79">
                  <c:v>0.15800000000000011</c:v>
                </c:pt>
                <c:pt idx="80">
                  <c:v>0.16000000000000011</c:v>
                </c:pt>
                <c:pt idx="81">
                  <c:v>0.16200000000000012</c:v>
                </c:pt>
                <c:pt idx="82">
                  <c:v>0.16400000000000012</c:v>
                </c:pt>
                <c:pt idx="83">
                  <c:v>0.16600000000000012</c:v>
                </c:pt>
                <c:pt idx="84">
                  <c:v>0.16800000000000012</c:v>
                </c:pt>
                <c:pt idx="85">
                  <c:v>0.17000000000000012</c:v>
                </c:pt>
                <c:pt idx="86">
                  <c:v>0.17200000000000013</c:v>
                </c:pt>
                <c:pt idx="87">
                  <c:v>0.17400000000000013</c:v>
                </c:pt>
                <c:pt idx="88">
                  <c:v>0.17600000000000013</c:v>
                </c:pt>
                <c:pt idx="89">
                  <c:v>0.17800000000000013</c:v>
                </c:pt>
                <c:pt idx="90">
                  <c:v>0.18000000000000013</c:v>
                </c:pt>
                <c:pt idx="91">
                  <c:v>0.18200000000000013</c:v>
                </c:pt>
                <c:pt idx="92">
                  <c:v>0.18400000000000014</c:v>
                </c:pt>
                <c:pt idx="93">
                  <c:v>0.18600000000000014</c:v>
                </c:pt>
                <c:pt idx="94">
                  <c:v>0.18800000000000014</c:v>
                </c:pt>
                <c:pt idx="95">
                  <c:v>0.19000000000000014</c:v>
                </c:pt>
                <c:pt idx="96">
                  <c:v>0.19200000000000014</c:v>
                </c:pt>
                <c:pt idx="97">
                  <c:v>0.19400000000000014</c:v>
                </c:pt>
                <c:pt idx="98">
                  <c:v>0.19600000000000015</c:v>
                </c:pt>
                <c:pt idx="99">
                  <c:v>0.19800000000000015</c:v>
                </c:pt>
                <c:pt idx="100">
                  <c:v>0.20000000000000015</c:v>
                </c:pt>
              </c:numCache>
            </c:numRef>
          </c:xVal>
          <c:yVal>
            <c:numRef>
              <c:f>plot!$O$4:$O$104</c:f>
              <c:numCache>
                <c:formatCode>0.00</c:formatCode>
                <c:ptCount val="101"/>
                <c:pt idx="0">
                  <c:v>-2.548937590253156E-4</c:v>
                </c:pt>
                <c:pt idx="1">
                  <c:v>5.2898362219413186E-3</c:v>
                </c:pt>
                <c:pt idx="2">
                  <c:v>1.1360793085155739E-2</c:v>
                </c:pt>
                <c:pt idx="3">
                  <c:v>1.8293316687715128E-2</c:v>
                </c:pt>
                <c:pt idx="4">
                  <c:v>2.5623440243537191E-2</c:v>
                </c:pt>
                <c:pt idx="5">
                  <c:v>3.2762447341789416E-2</c:v>
                </c:pt>
                <c:pt idx="6">
                  <c:v>3.7596080487947596E-2</c:v>
                </c:pt>
                <c:pt idx="7">
                  <c:v>4.3485810004714229E-2</c:v>
                </c:pt>
                <c:pt idx="8">
                  <c:v>4.6707826800390852E-2</c:v>
                </c:pt>
                <c:pt idx="9">
                  <c:v>4.9716389597134189E-2</c:v>
                </c:pt>
                <c:pt idx="10">
                  <c:v>5.2506235116524289E-2</c:v>
                </c:pt>
                <c:pt idx="11">
                  <c:v>5.3482402804837209E-2</c:v>
                </c:pt>
                <c:pt idx="12">
                  <c:v>5.3822204964193272E-2</c:v>
                </c:pt>
                <c:pt idx="13">
                  <c:v>5.4012785440393195E-2</c:v>
                </c:pt>
                <c:pt idx="14">
                  <c:v>5.4519312420811455E-2</c:v>
                </c:pt>
                <c:pt idx="15">
                  <c:v>5.4153311219322604E-2</c:v>
                </c:pt>
                <c:pt idx="16">
                  <c:v>5.3499449734488003E-2</c:v>
                </c:pt>
                <c:pt idx="17">
                  <c:v>5.3971047751950364E-2</c:v>
                </c:pt>
                <c:pt idx="18">
                  <c:v>5.3927175753277767E-2</c:v>
                </c:pt>
                <c:pt idx="19">
                  <c:v>5.4112554940365737E-2</c:v>
                </c:pt>
                <c:pt idx="20">
                  <c:v>5.3101118475836227E-2</c:v>
                </c:pt>
                <c:pt idx="21">
                  <c:v>5.2506376529579346E-2</c:v>
                </c:pt>
                <c:pt idx="22">
                  <c:v>5.066496637959049E-2</c:v>
                </c:pt>
                <c:pt idx="23">
                  <c:v>4.8042987441960901E-2</c:v>
                </c:pt>
                <c:pt idx="24">
                  <c:v>4.4537087047223714E-2</c:v>
                </c:pt>
                <c:pt idx="25">
                  <c:v>3.9403906577298926E-2</c:v>
                </c:pt>
                <c:pt idx="26">
                  <c:v>3.4253016603094176E-2</c:v>
                </c:pt>
                <c:pt idx="27">
                  <c:v>2.7402440706651297E-2</c:v>
                </c:pt>
                <c:pt idx="28">
                  <c:v>2.0988287950038764E-2</c:v>
                </c:pt>
                <c:pt idx="29">
                  <c:v>1.3445410271119587E-2</c:v>
                </c:pt>
                <c:pt idx="30">
                  <c:v>6.9933750580541913E-3</c:v>
                </c:pt>
                <c:pt idx="31">
                  <c:v>1.5628642395945939E-3</c:v>
                </c:pt>
                <c:pt idx="32">
                  <c:v>-4.1632222658417976E-3</c:v>
                </c:pt>
                <c:pt idx="33">
                  <c:v>-9.5641423536281141E-3</c:v>
                </c:pt>
                <c:pt idx="34">
                  <c:v>-1.7016392575828512E-2</c:v>
                </c:pt>
                <c:pt idx="35">
                  <c:v>-2.3531889685576478E-2</c:v>
                </c:pt>
                <c:pt idx="36">
                  <c:v>-3.0698848658316145E-2</c:v>
                </c:pt>
                <c:pt idx="37">
                  <c:v>-3.6415665173124376E-2</c:v>
                </c:pt>
                <c:pt idx="38">
                  <c:v>-4.1679137894869489E-2</c:v>
                </c:pt>
                <c:pt idx="39">
                  <c:v>-4.5788947478576141E-2</c:v>
                </c:pt>
                <c:pt idx="40">
                  <c:v>-4.8800677063461806E-2</c:v>
                </c:pt>
                <c:pt idx="41">
                  <c:v>-5.0883117747606781E-2</c:v>
                </c:pt>
                <c:pt idx="42">
                  <c:v>-5.2965724711728342E-2</c:v>
                </c:pt>
                <c:pt idx="43">
                  <c:v>-5.3980865236255442E-2</c:v>
                </c:pt>
                <c:pt idx="44">
                  <c:v>-5.3935415273225457E-2</c:v>
                </c:pt>
                <c:pt idx="45">
                  <c:v>-5.3376559274411831E-2</c:v>
                </c:pt>
                <c:pt idx="46">
                  <c:v>-5.3604307332049121E-2</c:v>
                </c:pt>
                <c:pt idx="47">
                  <c:v>-5.4123892261516086E-2</c:v>
                </c:pt>
                <c:pt idx="48">
                  <c:v>-5.3386142828962292E-2</c:v>
                </c:pt>
                <c:pt idx="49">
                  <c:v>-5.3998736739279123E-2</c:v>
                </c:pt>
                <c:pt idx="50">
                  <c:v>-5.3528131209261767E-2</c:v>
                </c:pt>
                <c:pt idx="51">
                  <c:v>-5.3448771722482212E-2</c:v>
                </c:pt>
                <c:pt idx="52">
                  <c:v>-5.2391252021399354E-2</c:v>
                </c:pt>
                <c:pt idx="53">
                  <c:v>-5.1146161425488015E-2</c:v>
                </c:pt>
                <c:pt idx="54">
                  <c:v>-4.8881673626051642E-2</c:v>
                </c:pt>
                <c:pt idx="55">
                  <c:v>-4.5433374018388727E-2</c:v>
                </c:pt>
                <c:pt idx="56">
                  <c:v>-4.0025037648597786E-2</c:v>
                </c:pt>
                <c:pt idx="57">
                  <c:v>-3.4560594857207486E-2</c:v>
                </c:pt>
                <c:pt idx="58">
                  <c:v>-2.8337435583913315E-2</c:v>
                </c:pt>
                <c:pt idx="59">
                  <c:v>-2.2492689554430432E-2</c:v>
                </c:pt>
                <c:pt idx="60">
                  <c:v>-1.5537097660061032E-2</c:v>
                </c:pt>
                <c:pt idx="61">
                  <c:v>-8.2791724654606904E-3</c:v>
                </c:pt>
                <c:pt idx="62">
                  <c:v>-2.9709975283052871E-3</c:v>
                </c:pt>
                <c:pt idx="63">
                  <c:v>2.5171337348251174E-3</c:v>
                </c:pt>
                <c:pt idx="64">
                  <c:v>8.5514135730351357E-3</c:v>
                </c:pt>
                <c:pt idx="65">
                  <c:v>1.5310170511023449E-2</c:v>
                </c:pt>
                <c:pt idx="66">
                  <c:v>2.2374926682885987E-2</c:v>
                </c:pt>
                <c:pt idx="67">
                  <c:v>2.9100018953738236E-2</c:v>
                </c:pt>
                <c:pt idx="68">
                  <c:v>3.5682948413777761E-2</c:v>
                </c:pt>
                <c:pt idx="69">
                  <c:v>4.0953533098779374E-2</c:v>
                </c:pt>
                <c:pt idx="70">
                  <c:v>4.5469453118987237E-2</c:v>
                </c:pt>
                <c:pt idx="71">
                  <c:v>4.8881212726978367E-2</c:v>
                </c:pt>
                <c:pt idx="72">
                  <c:v>5.0628909678554254E-2</c:v>
                </c:pt>
                <c:pt idx="73">
                  <c:v>5.3161802806310068E-2</c:v>
                </c:pt>
                <c:pt idx="74">
                  <c:v>5.3233411526010917E-2</c:v>
                </c:pt>
                <c:pt idx="75">
                  <c:v>5.3200577442914572E-2</c:v>
                </c:pt>
                <c:pt idx="76">
                  <c:v>5.4583263178047077E-2</c:v>
                </c:pt>
                <c:pt idx="77">
                  <c:v>5.4584635150101597E-2</c:v>
                </c:pt>
                <c:pt idx="78">
                  <c:v>5.3594488854139942E-2</c:v>
                </c:pt>
                <c:pt idx="79">
                  <c:v>5.4476887985506574E-2</c:v>
                </c:pt>
                <c:pt idx="80">
                  <c:v>5.4638095455753287E-2</c:v>
                </c:pt>
                <c:pt idx="81">
                  <c:v>5.3234847003655092E-2</c:v>
                </c:pt>
                <c:pt idx="82">
                  <c:v>5.3443812673217565E-2</c:v>
                </c:pt>
                <c:pt idx="83">
                  <c:v>5.2241593843702812E-2</c:v>
                </c:pt>
                <c:pt idx="84">
                  <c:v>5.0967666386361479E-2</c:v>
                </c:pt>
                <c:pt idx="85">
                  <c:v>4.9869822136268206E-2</c:v>
                </c:pt>
                <c:pt idx="86">
                  <c:v>4.5741684358982307E-2</c:v>
                </c:pt>
                <c:pt idx="87">
                  <c:v>4.2187387930807056E-2</c:v>
                </c:pt>
                <c:pt idx="88">
                  <c:v>3.6704827458163829E-2</c:v>
                </c:pt>
                <c:pt idx="89">
                  <c:v>3.0939359739556801E-2</c:v>
                </c:pt>
                <c:pt idx="90">
                  <c:v>2.3589765202708921E-2</c:v>
                </c:pt>
                <c:pt idx="91">
                  <c:v>1.6576032367976515E-2</c:v>
                </c:pt>
                <c:pt idx="92">
                  <c:v>1.0681820529496925E-2</c:v>
                </c:pt>
                <c:pt idx="93">
                  <c:v>4.3595936601756079E-3</c:v>
                </c:pt>
                <c:pt idx="94">
                  <c:v>-6.4643182013130092E-4</c:v>
                </c:pt>
                <c:pt idx="95">
                  <c:v>-7.4104785372286043E-3</c:v>
                </c:pt>
                <c:pt idx="96">
                  <c:v>-1.2912928073719675E-2</c:v>
                </c:pt>
                <c:pt idx="97">
                  <c:v>-2.0709159508274084E-2</c:v>
                </c:pt>
                <c:pt idx="98">
                  <c:v>-2.7940944339194595E-2</c:v>
                </c:pt>
                <c:pt idx="99">
                  <c:v>-3.4138265486577044E-2</c:v>
                </c:pt>
                <c:pt idx="100">
                  <c:v>-3.9439181405147801E-2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B4-4FF5-8B91-A26403B6FFC7}"/>
            </c:ext>
          </c:extLst>
        </c:ser>
        <c:ser>
          <c:idx val="3"/>
          <c:order val="3"/>
          <c:tx>
            <c:strRef>
              <c:f>plot!$P$3</c:f>
              <c:strCache>
                <c:ptCount val="1"/>
                <c:pt idx="0">
                  <c:v>U4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plot!$L$4:$L$104</c:f>
              <c:numCache>
                <c:formatCode>General</c:formatCode>
                <c:ptCount val="10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  <c:pt idx="51">
                  <c:v>0.10200000000000008</c:v>
                </c:pt>
                <c:pt idx="52">
                  <c:v>0.10400000000000008</c:v>
                </c:pt>
                <c:pt idx="53">
                  <c:v>0.10600000000000008</c:v>
                </c:pt>
                <c:pt idx="54">
                  <c:v>0.10800000000000008</c:v>
                </c:pt>
                <c:pt idx="55">
                  <c:v>0.11000000000000008</c:v>
                </c:pt>
                <c:pt idx="56">
                  <c:v>0.11200000000000009</c:v>
                </c:pt>
                <c:pt idx="57">
                  <c:v>0.11400000000000009</c:v>
                </c:pt>
                <c:pt idx="58">
                  <c:v>0.11600000000000009</c:v>
                </c:pt>
                <c:pt idx="59">
                  <c:v>0.11800000000000009</c:v>
                </c:pt>
                <c:pt idx="60">
                  <c:v>0.12000000000000009</c:v>
                </c:pt>
                <c:pt idx="61">
                  <c:v>0.12200000000000009</c:v>
                </c:pt>
                <c:pt idx="62">
                  <c:v>0.1240000000000001</c:v>
                </c:pt>
                <c:pt idx="63">
                  <c:v>0.12600000000000008</c:v>
                </c:pt>
                <c:pt idx="64">
                  <c:v>0.12800000000000009</c:v>
                </c:pt>
                <c:pt idx="65">
                  <c:v>0.13000000000000009</c:v>
                </c:pt>
                <c:pt idx="66">
                  <c:v>0.13200000000000009</c:v>
                </c:pt>
                <c:pt idx="67">
                  <c:v>0.13400000000000009</c:v>
                </c:pt>
                <c:pt idx="68">
                  <c:v>0.13600000000000009</c:v>
                </c:pt>
                <c:pt idx="69">
                  <c:v>0.13800000000000009</c:v>
                </c:pt>
                <c:pt idx="70">
                  <c:v>0.1400000000000001</c:v>
                </c:pt>
                <c:pt idx="71">
                  <c:v>0.1420000000000001</c:v>
                </c:pt>
                <c:pt idx="72">
                  <c:v>0.1440000000000001</c:v>
                </c:pt>
                <c:pt idx="73">
                  <c:v>0.1460000000000001</c:v>
                </c:pt>
                <c:pt idx="74">
                  <c:v>0.1480000000000001</c:v>
                </c:pt>
                <c:pt idx="75">
                  <c:v>0.15000000000000011</c:v>
                </c:pt>
                <c:pt idx="76">
                  <c:v>0.15200000000000011</c:v>
                </c:pt>
                <c:pt idx="77">
                  <c:v>0.15400000000000011</c:v>
                </c:pt>
                <c:pt idx="78">
                  <c:v>0.15600000000000011</c:v>
                </c:pt>
                <c:pt idx="79">
                  <c:v>0.15800000000000011</c:v>
                </c:pt>
                <c:pt idx="80">
                  <c:v>0.16000000000000011</c:v>
                </c:pt>
                <c:pt idx="81">
                  <c:v>0.16200000000000012</c:v>
                </c:pt>
                <c:pt idx="82">
                  <c:v>0.16400000000000012</c:v>
                </c:pt>
                <c:pt idx="83">
                  <c:v>0.16600000000000012</c:v>
                </c:pt>
                <c:pt idx="84">
                  <c:v>0.16800000000000012</c:v>
                </c:pt>
                <c:pt idx="85">
                  <c:v>0.17000000000000012</c:v>
                </c:pt>
                <c:pt idx="86">
                  <c:v>0.17200000000000013</c:v>
                </c:pt>
                <c:pt idx="87">
                  <c:v>0.17400000000000013</c:v>
                </c:pt>
                <c:pt idx="88">
                  <c:v>0.17600000000000013</c:v>
                </c:pt>
                <c:pt idx="89">
                  <c:v>0.17800000000000013</c:v>
                </c:pt>
                <c:pt idx="90">
                  <c:v>0.18000000000000013</c:v>
                </c:pt>
                <c:pt idx="91">
                  <c:v>0.18200000000000013</c:v>
                </c:pt>
                <c:pt idx="92">
                  <c:v>0.18400000000000014</c:v>
                </c:pt>
                <c:pt idx="93">
                  <c:v>0.18600000000000014</c:v>
                </c:pt>
                <c:pt idx="94">
                  <c:v>0.18800000000000014</c:v>
                </c:pt>
                <c:pt idx="95">
                  <c:v>0.19000000000000014</c:v>
                </c:pt>
                <c:pt idx="96">
                  <c:v>0.19200000000000014</c:v>
                </c:pt>
                <c:pt idx="97">
                  <c:v>0.19400000000000014</c:v>
                </c:pt>
                <c:pt idx="98">
                  <c:v>0.19600000000000015</c:v>
                </c:pt>
                <c:pt idx="99">
                  <c:v>0.19800000000000015</c:v>
                </c:pt>
                <c:pt idx="100">
                  <c:v>0.20000000000000015</c:v>
                </c:pt>
              </c:numCache>
            </c:numRef>
          </c:xVal>
          <c:yVal>
            <c:numRef>
              <c:f>plot!$P$4:$P$104</c:f>
              <c:numCache>
                <c:formatCode>0.00</c:formatCode>
                <c:ptCount val="101"/>
                <c:pt idx="0">
                  <c:v>3.2731339073261301E-3</c:v>
                </c:pt>
                <c:pt idx="1">
                  <c:v>1.0888818782954859E-2</c:v>
                </c:pt>
                <c:pt idx="2">
                  <c:v>1.737273186366186E-2</c:v>
                </c:pt>
                <c:pt idx="3">
                  <c:v>2.4843543847027288E-2</c:v>
                </c:pt>
                <c:pt idx="4">
                  <c:v>3.2075385699980412E-2</c:v>
                </c:pt>
                <c:pt idx="5">
                  <c:v>3.9092552610859255E-2</c:v>
                </c:pt>
                <c:pt idx="6">
                  <c:v>4.5120571556474753E-2</c:v>
                </c:pt>
                <c:pt idx="7">
                  <c:v>4.9573058742409977E-2</c:v>
                </c:pt>
                <c:pt idx="8">
                  <c:v>5.2501623417933914E-2</c:v>
                </c:pt>
                <c:pt idx="9">
                  <c:v>5.5525538934378761E-2</c:v>
                </c:pt>
                <c:pt idx="10">
                  <c:v>5.6497285022241016E-2</c:v>
                </c:pt>
                <c:pt idx="11">
                  <c:v>5.801639877324196E-2</c:v>
                </c:pt>
                <c:pt idx="12">
                  <c:v>5.7266501337866711E-2</c:v>
                </c:pt>
                <c:pt idx="13">
                  <c:v>5.7739655567248326E-2</c:v>
                </c:pt>
                <c:pt idx="14">
                  <c:v>5.7977012747364998E-2</c:v>
                </c:pt>
                <c:pt idx="15">
                  <c:v>5.8226173833412623E-2</c:v>
                </c:pt>
                <c:pt idx="16">
                  <c:v>5.7838361425458569E-2</c:v>
                </c:pt>
                <c:pt idx="17">
                  <c:v>5.7494512664996632E-2</c:v>
                </c:pt>
                <c:pt idx="18">
                  <c:v>5.790663128605112E-2</c:v>
                </c:pt>
                <c:pt idx="19">
                  <c:v>5.7635250321038528E-2</c:v>
                </c:pt>
                <c:pt idx="20">
                  <c:v>5.6539572648528866E-2</c:v>
                </c:pt>
                <c:pt idx="21">
                  <c:v>5.5261142347916112E-2</c:v>
                </c:pt>
                <c:pt idx="22">
                  <c:v>5.1861334728382502E-2</c:v>
                </c:pt>
                <c:pt idx="23">
                  <c:v>4.7937129492306219E-2</c:v>
                </c:pt>
                <c:pt idx="24">
                  <c:v>4.4282865569414638E-2</c:v>
                </c:pt>
                <c:pt idx="25">
                  <c:v>3.8499634006571894E-2</c:v>
                </c:pt>
                <c:pt idx="26">
                  <c:v>3.090913916972076E-2</c:v>
                </c:pt>
                <c:pt idx="27">
                  <c:v>2.4241993283774917E-2</c:v>
                </c:pt>
                <c:pt idx="28">
                  <c:v>1.6186354975536461E-2</c:v>
                </c:pt>
                <c:pt idx="29">
                  <c:v>1.0135261364919226E-2</c:v>
                </c:pt>
                <c:pt idx="30">
                  <c:v>3.1395109794642787E-3</c:v>
                </c:pt>
                <c:pt idx="31">
                  <c:v>-2.1893804518513076E-3</c:v>
                </c:pt>
                <c:pt idx="32">
                  <c:v>-8.7693213949791935E-3</c:v>
                </c:pt>
                <c:pt idx="33">
                  <c:v>-1.6497728841094014E-2</c:v>
                </c:pt>
                <c:pt idx="34">
                  <c:v>-2.3260714953589418E-2</c:v>
                </c:pt>
                <c:pt idx="35">
                  <c:v>-3.0535790613298173E-2</c:v>
                </c:pt>
                <c:pt idx="36">
                  <c:v>-3.7348067662628714E-2</c:v>
                </c:pt>
                <c:pt idx="37">
                  <c:v>-4.2786121148531239E-2</c:v>
                </c:pt>
                <c:pt idx="38">
                  <c:v>-4.7950629782346044E-2</c:v>
                </c:pt>
                <c:pt idx="39">
                  <c:v>-5.1477844863705907E-2</c:v>
                </c:pt>
                <c:pt idx="40">
                  <c:v>-5.4304228086077287E-2</c:v>
                </c:pt>
                <c:pt idx="41">
                  <c:v>-5.6680273126645239E-2</c:v>
                </c:pt>
                <c:pt idx="42">
                  <c:v>-5.7852390209841023E-2</c:v>
                </c:pt>
                <c:pt idx="43">
                  <c:v>-5.8374841542942597E-2</c:v>
                </c:pt>
                <c:pt idx="44">
                  <c:v>-5.8225595344733302E-2</c:v>
                </c:pt>
                <c:pt idx="45">
                  <c:v>-5.7302841364595992E-2</c:v>
                </c:pt>
                <c:pt idx="46">
                  <c:v>-5.851216867544097E-2</c:v>
                </c:pt>
                <c:pt idx="47">
                  <c:v>-5.7378009599945545E-2</c:v>
                </c:pt>
                <c:pt idx="48">
                  <c:v>-5.7646040669166392E-2</c:v>
                </c:pt>
                <c:pt idx="49">
                  <c:v>-5.8576432999327417E-2</c:v>
                </c:pt>
                <c:pt idx="50">
                  <c:v>-5.7429248219422864E-2</c:v>
                </c:pt>
                <c:pt idx="51">
                  <c:v>-5.6829420823192117E-2</c:v>
                </c:pt>
                <c:pt idx="52">
                  <c:v>-5.5249346365553682E-2</c:v>
                </c:pt>
                <c:pt idx="53">
                  <c:v>-5.2642867574383655E-2</c:v>
                </c:pt>
                <c:pt idx="54">
                  <c:v>-5.0293383107963753E-2</c:v>
                </c:pt>
                <c:pt idx="55">
                  <c:v>-4.5488723746825402E-2</c:v>
                </c:pt>
                <c:pt idx="56">
                  <c:v>-3.9852342767241568E-2</c:v>
                </c:pt>
                <c:pt idx="57">
                  <c:v>-3.3187284818154791E-2</c:v>
                </c:pt>
                <c:pt idx="58">
                  <c:v>-2.6638040957996219E-2</c:v>
                </c:pt>
                <c:pt idx="59">
                  <c:v>-1.9197970091642126E-2</c:v>
                </c:pt>
                <c:pt idx="60">
                  <c:v>-1.1686835942116813E-2</c:v>
                </c:pt>
                <c:pt idx="61">
                  <c:v>-4.1010194387976692E-3</c:v>
                </c:pt>
                <c:pt idx="62">
                  <c:v>1.5962386529874951E-3</c:v>
                </c:pt>
                <c:pt idx="63">
                  <c:v>7.3993505977939635E-3</c:v>
                </c:pt>
                <c:pt idx="64">
                  <c:v>1.3917038412503694E-2</c:v>
                </c:pt>
                <c:pt idx="65">
                  <c:v>2.1027902871435158E-2</c:v>
                </c:pt>
                <c:pt idx="66">
                  <c:v>2.9113114464239937E-2</c:v>
                </c:pt>
                <c:pt idx="67">
                  <c:v>3.5644495173496903E-2</c:v>
                </c:pt>
                <c:pt idx="68">
                  <c:v>4.1551056338483591E-2</c:v>
                </c:pt>
                <c:pt idx="69">
                  <c:v>4.6560590196382333E-2</c:v>
                </c:pt>
                <c:pt idx="70">
                  <c:v>5.0963645450887274E-2</c:v>
                </c:pt>
                <c:pt idx="71">
                  <c:v>5.421055837846965E-2</c:v>
                </c:pt>
                <c:pt idx="72">
                  <c:v>5.5626403270797958E-2</c:v>
                </c:pt>
                <c:pt idx="73">
                  <c:v>5.7431524238863017E-2</c:v>
                </c:pt>
                <c:pt idx="74">
                  <c:v>5.731965702261748E-2</c:v>
                </c:pt>
                <c:pt idx="75">
                  <c:v>5.7554211003846487E-2</c:v>
                </c:pt>
                <c:pt idx="76">
                  <c:v>5.8152759404214494E-2</c:v>
                </c:pt>
                <c:pt idx="77">
                  <c:v>5.771340610565584E-2</c:v>
                </c:pt>
                <c:pt idx="78">
                  <c:v>5.7927877462795076E-2</c:v>
                </c:pt>
                <c:pt idx="79">
                  <c:v>5.7614943004528997E-2</c:v>
                </c:pt>
                <c:pt idx="80">
                  <c:v>5.7715348526547569E-2</c:v>
                </c:pt>
                <c:pt idx="81">
                  <c:v>5.730217275025707E-2</c:v>
                </c:pt>
                <c:pt idx="82">
                  <c:v>5.7002796747840721E-2</c:v>
                </c:pt>
                <c:pt idx="83">
                  <c:v>5.5365084341273615E-2</c:v>
                </c:pt>
                <c:pt idx="84">
                  <c:v>5.3793361073600707E-2</c:v>
                </c:pt>
                <c:pt idx="85">
                  <c:v>5.0333173590720703E-2</c:v>
                </c:pt>
                <c:pt idx="86">
                  <c:v>4.573230938011718E-2</c:v>
                </c:pt>
                <c:pt idx="87">
                  <c:v>4.0557530952719134E-2</c:v>
                </c:pt>
                <c:pt idx="88">
                  <c:v>3.487503603454787E-2</c:v>
                </c:pt>
                <c:pt idx="89">
                  <c:v>2.7514386182273788E-2</c:v>
                </c:pt>
                <c:pt idx="90">
                  <c:v>2.0652984223532938E-2</c:v>
                </c:pt>
                <c:pt idx="91">
                  <c:v>1.244010267505428E-2</c:v>
                </c:pt>
                <c:pt idx="92">
                  <c:v>6.7041999296330815E-3</c:v>
                </c:pt>
                <c:pt idx="93">
                  <c:v>-3.8274150171349418E-4</c:v>
                </c:pt>
                <c:pt idx="94">
                  <c:v>-4.9950471871743167E-3</c:v>
                </c:pt>
                <c:pt idx="95">
                  <c:v>-1.2273550721977288E-2</c:v>
                </c:pt>
                <c:pt idx="96">
                  <c:v>-1.9837712935374514E-2</c:v>
                </c:pt>
                <c:pt idx="97">
                  <c:v>-2.7528235771826472E-2</c:v>
                </c:pt>
                <c:pt idx="98">
                  <c:v>-3.41684818588407E-2</c:v>
                </c:pt>
                <c:pt idx="99">
                  <c:v>-4.1085510437974218E-2</c:v>
                </c:pt>
                <c:pt idx="100">
                  <c:v>-4.6024628600122269E-2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B4-4FF5-8B91-A26403B6FFC7}"/>
            </c:ext>
          </c:extLst>
        </c:ser>
        <c:ser>
          <c:idx val="4"/>
          <c:order val="4"/>
          <c:tx>
            <c:strRef>
              <c:f>plot!$Q$3</c:f>
              <c:strCache>
                <c:ptCount val="1"/>
                <c:pt idx="0">
                  <c:v>U5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plot!$L$4:$L$104</c:f>
              <c:numCache>
                <c:formatCode>General</c:formatCode>
                <c:ptCount val="10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  <c:pt idx="51">
                  <c:v>0.10200000000000008</c:v>
                </c:pt>
                <c:pt idx="52">
                  <c:v>0.10400000000000008</c:v>
                </c:pt>
                <c:pt idx="53">
                  <c:v>0.10600000000000008</c:v>
                </c:pt>
                <c:pt idx="54">
                  <c:v>0.10800000000000008</c:v>
                </c:pt>
                <c:pt idx="55">
                  <c:v>0.11000000000000008</c:v>
                </c:pt>
                <c:pt idx="56">
                  <c:v>0.11200000000000009</c:v>
                </c:pt>
                <c:pt idx="57">
                  <c:v>0.11400000000000009</c:v>
                </c:pt>
                <c:pt idx="58">
                  <c:v>0.11600000000000009</c:v>
                </c:pt>
                <c:pt idx="59">
                  <c:v>0.11800000000000009</c:v>
                </c:pt>
                <c:pt idx="60">
                  <c:v>0.12000000000000009</c:v>
                </c:pt>
                <c:pt idx="61">
                  <c:v>0.12200000000000009</c:v>
                </c:pt>
                <c:pt idx="62">
                  <c:v>0.1240000000000001</c:v>
                </c:pt>
                <c:pt idx="63">
                  <c:v>0.12600000000000008</c:v>
                </c:pt>
                <c:pt idx="64">
                  <c:v>0.12800000000000009</c:v>
                </c:pt>
                <c:pt idx="65">
                  <c:v>0.13000000000000009</c:v>
                </c:pt>
                <c:pt idx="66">
                  <c:v>0.13200000000000009</c:v>
                </c:pt>
                <c:pt idx="67">
                  <c:v>0.13400000000000009</c:v>
                </c:pt>
                <c:pt idx="68">
                  <c:v>0.13600000000000009</c:v>
                </c:pt>
                <c:pt idx="69">
                  <c:v>0.13800000000000009</c:v>
                </c:pt>
                <c:pt idx="70">
                  <c:v>0.1400000000000001</c:v>
                </c:pt>
                <c:pt idx="71">
                  <c:v>0.1420000000000001</c:v>
                </c:pt>
                <c:pt idx="72">
                  <c:v>0.1440000000000001</c:v>
                </c:pt>
                <c:pt idx="73">
                  <c:v>0.1460000000000001</c:v>
                </c:pt>
                <c:pt idx="74">
                  <c:v>0.1480000000000001</c:v>
                </c:pt>
                <c:pt idx="75">
                  <c:v>0.15000000000000011</c:v>
                </c:pt>
                <c:pt idx="76">
                  <c:v>0.15200000000000011</c:v>
                </c:pt>
                <c:pt idx="77">
                  <c:v>0.15400000000000011</c:v>
                </c:pt>
                <c:pt idx="78">
                  <c:v>0.15600000000000011</c:v>
                </c:pt>
                <c:pt idx="79">
                  <c:v>0.15800000000000011</c:v>
                </c:pt>
                <c:pt idx="80">
                  <c:v>0.16000000000000011</c:v>
                </c:pt>
                <c:pt idx="81">
                  <c:v>0.16200000000000012</c:v>
                </c:pt>
                <c:pt idx="82">
                  <c:v>0.16400000000000012</c:v>
                </c:pt>
                <c:pt idx="83">
                  <c:v>0.16600000000000012</c:v>
                </c:pt>
                <c:pt idx="84">
                  <c:v>0.16800000000000012</c:v>
                </c:pt>
                <c:pt idx="85">
                  <c:v>0.17000000000000012</c:v>
                </c:pt>
                <c:pt idx="86">
                  <c:v>0.17200000000000013</c:v>
                </c:pt>
                <c:pt idx="87">
                  <c:v>0.17400000000000013</c:v>
                </c:pt>
                <c:pt idx="88">
                  <c:v>0.17600000000000013</c:v>
                </c:pt>
                <c:pt idx="89">
                  <c:v>0.17800000000000013</c:v>
                </c:pt>
                <c:pt idx="90">
                  <c:v>0.18000000000000013</c:v>
                </c:pt>
                <c:pt idx="91">
                  <c:v>0.18200000000000013</c:v>
                </c:pt>
                <c:pt idx="92">
                  <c:v>0.18400000000000014</c:v>
                </c:pt>
                <c:pt idx="93">
                  <c:v>0.18600000000000014</c:v>
                </c:pt>
                <c:pt idx="94">
                  <c:v>0.18800000000000014</c:v>
                </c:pt>
                <c:pt idx="95">
                  <c:v>0.19000000000000014</c:v>
                </c:pt>
                <c:pt idx="96">
                  <c:v>0.19200000000000014</c:v>
                </c:pt>
                <c:pt idx="97">
                  <c:v>0.19400000000000014</c:v>
                </c:pt>
                <c:pt idx="98">
                  <c:v>0.19600000000000015</c:v>
                </c:pt>
                <c:pt idx="99">
                  <c:v>0.19800000000000015</c:v>
                </c:pt>
                <c:pt idx="100">
                  <c:v>0.20000000000000015</c:v>
                </c:pt>
              </c:numCache>
            </c:numRef>
          </c:xVal>
          <c:yVal>
            <c:numRef>
              <c:f>plot!$Q$4:$Q$104</c:f>
              <c:numCache>
                <c:formatCode>0.00</c:formatCode>
                <c:ptCount val="101"/>
                <c:pt idx="0">
                  <c:v>-5.4605111643882503E-4</c:v>
                </c:pt>
                <c:pt idx="1">
                  <c:v>6.8773391011341606E-3</c:v>
                </c:pt>
                <c:pt idx="2">
                  <c:v>1.4187379892699121E-2</c:v>
                </c:pt>
                <c:pt idx="3">
                  <c:v>2.1102055778993243E-2</c:v>
                </c:pt>
                <c:pt idx="4">
                  <c:v>2.9599571887103739E-2</c:v>
                </c:pt>
                <c:pt idx="5">
                  <c:v>3.6936482466885578E-2</c:v>
                </c:pt>
                <c:pt idx="6">
                  <c:v>4.381808102962427E-2</c:v>
                </c:pt>
                <c:pt idx="7">
                  <c:v>4.8807238307920442E-2</c:v>
                </c:pt>
                <c:pt idx="8">
                  <c:v>5.4058965657654022E-2</c:v>
                </c:pt>
                <c:pt idx="9">
                  <c:v>5.7167650593860954E-2</c:v>
                </c:pt>
                <c:pt idx="10">
                  <c:v>5.8829385982808506E-2</c:v>
                </c:pt>
                <c:pt idx="11">
                  <c:v>6.1369266200010195E-2</c:v>
                </c:pt>
                <c:pt idx="12">
                  <c:v>6.174019720810274E-2</c:v>
                </c:pt>
                <c:pt idx="13">
                  <c:v>6.1312571889307055E-2</c:v>
                </c:pt>
                <c:pt idx="14">
                  <c:v>6.2003511888007318E-2</c:v>
                </c:pt>
                <c:pt idx="15">
                  <c:v>6.1979150532486649E-2</c:v>
                </c:pt>
                <c:pt idx="16">
                  <c:v>6.2238540275621451E-2</c:v>
                </c:pt>
                <c:pt idx="17">
                  <c:v>6.2542348519516067E-2</c:v>
                </c:pt>
                <c:pt idx="18">
                  <c:v>6.1720738947250171E-2</c:v>
                </c:pt>
                <c:pt idx="19">
                  <c:v>6.2177135604020002E-2</c:v>
                </c:pt>
                <c:pt idx="20">
                  <c:v>6.0576052153626721E-2</c:v>
                </c:pt>
                <c:pt idx="21">
                  <c:v>5.9630492615851828E-2</c:v>
                </c:pt>
                <c:pt idx="22">
                  <c:v>5.7794578323073137E-2</c:v>
                </c:pt>
                <c:pt idx="23">
                  <c:v>5.5356222540988584E-2</c:v>
                </c:pt>
                <c:pt idx="24">
                  <c:v>5.1051927451101466E-2</c:v>
                </c:pt>
                <c:pt idx="25">
                  <c:v>4.5752582029067193E-2</c:v>
                </c:pt>
                <c:pt idx="26">
                  <c:v>3.9017646827412766E-2</c:v>
                </c:pt>
                <c:pt idx="27">
                  <c:v>3.0903238382938944E-2</c:v>
                </c:pt>
                <c:pt idx="28">
                  <c:v>2.3476666774997778E-2</c:v>
                </c:pt>
                <c:pt idx="29">
                  <c:v>1.5379668852611135E-2</c:v>
                </c:pt>
                <c:pt idx="30">
                  <c:v>8.1820653039282962E-3</c:v>
                </c:pt>
                <c:pt idx="31">
                  <c:v>1.0982378486422005E-3</c:v>
                </c:pt>
                <c:pt idx="32">
                  <c:v>-4.1326211029630274E-3</c:v>
                </c:pt>
                <c:pt idx="33">
                  <c:v>-1.2326450575648313E-2</c:v>
                </c:pt>
                <c:pt idx="34">
                  <c:v>-1.944474685485547E-2</c:v>
                </c:pt>
                <c:pt idx="35">
                  <c:v>-2.7045534462781472E-2</c:v>
                </c:pt>
                <c:pt idx="36">
                  <c:v>-3.50857537857448E-2</c:v>
                </c:pt>
                <c:pt idx="37">
                  <c:v>-4.1593431459969341E-2</c:v>
                </c:pt>
                <c:pt idx="38">
                  <c:v>-4.7686944862997065E-2</c:v>
                </c:pt>
                <c:pt idx="39">
                  <c:v>-5.2787037172137341E-2</c:v>
                </c:pt>
                <c:pt idx="40">
                  <c:v>-5.7157228325788879E-2</c:v>
                </c:pt>
                <c:pt idx="41">
                  <c:v>-5.8686104626895712E-2</c:v>
                </c:pt>
                <c:pt idx="42">
                  <c:v>-6.0434828818961693E-2</c:v>
                </c:pt>
                <c:pt idx="43">
                  <c:v>-6.1191103171302406E-2</c:v>
                </c:pt>
                <c:pt idx="44">
                  <c:v>-6.2049292050402154E-2</c:v>
                </c:pt>
                <c:pt idx="45">
                  <c:v>-6.1674434489711466E-2</c:v>
                </c:pt>
                <c:pt idx="46">
                  <c:v>-6.1904805336836316E-2</c:v>
                </c:pt>
                <c:pt idx="47">
                  <c:v>-6.2358223494628155E-2</c:v>
                </c:pt>
                <c:pt idx="48">
                  <c:v>-6.1430691051995327E-2</c:v>
                </c:pt>
                <c:pt idx="49">
                  <c:v>-6.1402164094382941E-2</c:v>
                </c:pt>
                <c:pt idx="50">
                  <c:v>-6.2388427547939322E-2</c:v>
                </c:pt>
                <c:pt idx="51">
                  <c:v>-6.0765644570444879E-2</c:v>
                </c:pt>
                <c:pt idx="52">
                  <c:v>-6.0569811692146279E-2</c:v>
                </c:pt>
                <c:pt idx="53">
                  <c:v>-5.8106223698820833E-2</c:v>
                </c:pt>
                <c:pt idx="54">
                  <c:v>-5.5480623971184903E-2</c:v>
                </c:pt>
                <c:pt idx="55">
                  <c:v>-5.2073578864695963E-2</c:v>
                </c:pt>
                <c:pt idx="56">
                  <c:v>-4.6220320505480951E-2</c:v>
                </c:pt>
                <c:pt idx="57">
                  <c:v>-3.9770579752628162E-2</c:v>
                </c:pt>
                <c:pt idx="58">
                  <c:v>-3.3249278227001973E-2</c:v>
                </c:pt>
                <c:pt idx="59">
                  <c:v>-2.5614674501893656E-2</c:v>
                </c:pt>
                <c:pt idx="60">
                  <c:v>-1.6809443752313649E-2</c:v>
                </c:pt>
                <c:pt idx="61">
                  <c:v>-9.7970824425784829E-3</c:v>
                </c:pt>
                <c:pt idx="62">
                  <c:v>-3.2583566556408801E-3</c:v>
                </c:pt>
                <c:pt idx="63">
                  <c:v>3.439951751620578E-3</c:v>
                </c:pt>
                <c:pt idx="64">
                  <c:v>9.7573786486296558E-3</c:v>
                </c:pt>
                <c:pt idx="65">
                  <c:v>1.6947081405983781E-2</c:v>
                </c:pt>
                <c:pt idx="66">
                  <c:v>2.539367624341168E-2</c:v>
                </c:pt>
                <c:pt idx="67">
                  <c:v>3.3271307934536323E-2</c:v>
                </c:pt>
                <c:pt idx="68">
                  <c:v>4.0251092384087007E-2</c:v>
                </c:pt>
                <c:pt idx="69">
                  <c:v>4.7037451093443566E-2</c:v>
                </c:pt>
                <c:pt idx="70">
                  <c:v>5.1686070396206284E-2</c:v>
                </c:pt>
                <c:pt idx="71">
                  <c:v>5.4976554992829406E-2</c:v>
                </c:pt>
                <c:pt idx="72">
                  <c:v>5.8206488648208841E-2</c:v>
                </c:pt>
                <c:pt idx="73">
                  <c:v>6.044559028990918E-2</c:v>
                </c:pt>
                <c:pt idx="74">
                  <c:v>6.1633128388271376E-2</c:v>
                </c:pt>
                <c:pt idx="75">
                  <c:v>6.1534889382097058E-2</c:v>
                </c:pt>
                <c:pt idx="76">
                  <c:v>6.2540777918644846E-2</c:v>
                </c:pt>
                <c:pt idx="77">
                  <c:v>6.2010422804888284E-2</c:v>
                </c:pt>
                <c:pt idx="78">
                  <c:v>6.1734234549278157E-2</c:v>
                </c:pt>
                <c:pt idx="79">
                  <c:v>6.204249299701068E-2</c:v>
                </c:pt>
                <c:pt idx="80">
                  <c:v>6.2320789805409151E-2</c:v>
                </c:pt>
                <c:pt idx="81">
                  <c:v>6.1665691888370469E-2</c:v>
                </c:pt>
                <c:pt idx="82">
                  <c:v>6.2055155243044155E-2</c:v>
                </c:pt>
                <c:pt idx="83">
                  <c:v>6.0370561615056668E-2</c:v>
                </c:pt>
                <c:pt idx="84">
                  <c:v>5.8386192039586615E-2</c:v>
                </c:pt>
                <c:pt idx="85">
                  <c:v>5.598884358817377E-2</c:v>
                </c:pt>
                <c:pt idx="86">
                  <c:v>5.2384514429426959E-2</c:v>
                </c:pt>
                <c:pt idx="87">
                  <c:v>4.8387455636656862E-2</c:v>
                </c:pt>
                <c:pt idx="88">
                  <c:v>4.1846070089678486E-2</c:v>
                </c:pt>
                <c:pt idx="89">
                  <c:v>3.4970002775671742E-2</c:v>
                </c:pt>
                <c:pt idx="90">
                  <c:v>2.771255051022764E-2</c:v>
                </c:pt>
                <c:pt idx="91">
                  <c:v>1.9818772137977354E-2</c:v>
                </c:pt>
                <c:pt idx="92">
                  <c:v>1.1650688941662012E-2</c:v>
                </c:pt>
                <c:pt idx="93">
                  <c:v>4.0489095736680938E-3</c:v>
                </c:pt>
                <c:pt idx="94">
                  <c:v>-2.0747211452848235E-3</c:v>
                </c:pt>
                <c:pt idx="95">
                  <c:v>-8.679907632567015E-3</c:v>
                </c:pt>
                <c:pt idx="96">
                  <c:v>-1.5468291330382399E-2</c:v>
                </c:pt>
                <c:pt idx="97">
                  <c:v>-2.3696559920652952E-2</c:v>
                </c:pt>
                <c:pt idx="98">
                  <c:v>-3.0829215328491585E-2</c:v>
                </c:pt>
                <c:pt idx="99">
                  <c:v>-3.8607779671114152E-2</c:v>
                </c:pt>
                <c:pt idx="100">
                  <c:v>-4.5744990114107896E-2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B4-4FF5-8B91-A26403B6FFC7}"/>
            </c:ext>
          </c:extLst>
        </c:ser>
        <c:ser>
          <c:idx val="5"/>
          <c:order val="5"/>
          <c:tx>
            <c:strRef>
              <c:f>plot!$R$3</c:f>
              <c:strCache>
                <c:ptCount val="1"/>
                <c:pt idx="0">
                  <c:v>U6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plot!$L$4:$L$104</c:f>
              <c:numCache>
                <c:formatCode>General</c:formatCode>
                <c:ptCount val="10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  <c:pt idx="51">
                  <c:v>0.10200000000000008</c:v>
                </c:pt>
                <c:pt idx="52">
                  <c:v>0.10400000000000008</c:v>
                </c:pt>
                <c:pt idx="53">
                  <c:v>0.10600000000000008</c:v>
                </c:pt>
                <c:pt idx="54">
                  <c:v>0.10800000000000008</c:v>
                </c:pt>
                <c:pt idx="55">
                  <c:v>0.11000000000000008</c:v>
                </c:pt>
                <c:pt idx="56">
                  <c:v>0.11200000000000009</c:v>
                </c:pt>
                <c:pt idx="57">
                  <c:v>0.11400000000000009</c:v>
                </c:pt>
                <c:pt idx="58">
                  <c:v>0.11600000000000009</c:v>
                </c:pt>
                <c:pt idx="59">
                  <c:v>0.11800000000000009</c:v>
                </c:pt>
                <c:pt idx="60">
                  <c:v>0.12000000000000009</c:v>
                </c:pt>
                <c:pt idx="61">
                  <c:v>0.12200000000000009</c:v>
                </c:pt>
                <c:pt idx="62">
                  <c:v>0.1240000000000001</c:v>
                </c:pt>
                <c:pt idx="63">
                  <c:v>0.12600000000000008</c:v>
                </c:pt>
                <c:pt idx="64">
                  <c:v>0.12800000000000009</c:v>
                </c:pt>
                <c:pt idx="65">
                  <c:v>0.13000000000000009</c:v>
                </c:pt>
                <c:pt idx="66">
                  <c:v>0.13200000000000009</c:v>
                </c:pt>
                <c:pt idx="67">
                  <c:v>0.13400000000000009</c:v>
                </c:pt>
                <c:pt idx="68">
                  <c:v>0.13600000000000009</c:v>
                </c:pt>
                <c:pt idx="69">
                  <c:v>0.13800000000000009</c:v>
                </c:pt>
                <c:pt idx="70">
                  <c:v>0.1400000000000001</c:v>
                </c:pt>
                <c:pt idx="71">
                  <c:v>0.1420000000000001</c:v>
                </c:pt>
                <c:pt idx="72">
                  <c:v>0.1440000000000001</c:v>
                </c:pt>
                <c:pt idx="73">
                  <c:v>0.1460000000000001</c:v>
                </c:pt>
                <c:pt idx="74">
                  <c:v>0.1480000000000001</c:v>
                </c:pt>
                <c:pt idx="75">
                  <c:v>0.15000000000000011</c:v>
                </c:pt>
                <c:pt idx="76">
                  <c:v>0.15200000000000011</c:v>
                </c:pt>
                <c:pt idx="77">
                  <c:v>0.15400000000000011</c:v>
                </c:pt>
                <c:pt idx="78">
                  <c:v>0.15600000000000011</c:v>
                </c:pt>
                <c:pt idx="79">
                  <c:v>0.15800000000000011</c:v>
                </c:pt>
                <c:pt idx="80">
                  <c:v>0.16000000000000011</c:v>
                </c:pt>
                <c:pt idx="81">
                  <c:v>0.16200000000000012</c:v>
                </c:pt>
                <c:pt idx="82">
                  <c:v>0.16400000000000012</c:v>
                </c:pt>
                <c:pt idx="83">
                  <c:v>0.16600000000000012</c:v>
                </c:pt>
                <c:pt idx="84">
                  <c:v>0.16800000000000012</c:v>
                </c:pt>
                <c:pt idx="85">
                  <c:v>0.17000000000000012</c:v>
                </c:pt>
                <c:pt idx="86">
                  <c:v>0.17200000000000013</c:v>
                </c:pt>
                <c:pt idx="87">
                  <c:v>0.17400000000000013</c:v>
                </c:pt>
                <c:pt idx="88">
                  <c:v>0.17600000000000013</c:v>
                </c:pt>
                <c:pt idx="89">
                  <c:v>0.17800000000000013</c:v>
                </c:pt>
                <c:pt idx="90">
                  <c:v>0.18000000000000013</c:v>
                </c:pt>
                <c:pt idx="91">
                  <c:v>0.18200000000000013</c:v>
                </c:pt>
                <c:pt idx="92">
                  <c:v>0.18400000000000014</c:v>
                </c:pt>
                <c:pt idx="93">
                  <c:v>0.18600000000000014</c:v>
                </c:pt>
                <c:pt idx="94">
                  <c:v>0.18800000000000014</c:v>
                </c:pt>
                <c:pt idx="95">
                  <c:v>0.19000000000000014</c:v>
                </c:pt>
                <c:pt idx="96">
                  <c:v>0.19200000000000014</c:v>
                </c:pt>
                <c:pt idx="97">
                  <c:v>0.19400000000000014</c:v>
                </c:pt>
                <c:pt idx="98">
                  <c:v>0.19600000000000015</c:v>
                </c:pt>
                <c:pt idx="99">
                  <c:v>0.19800000000000015</c:v>
                </c:pt>
                <c:pt idx="100">
                  <c:v>0.20000000000000015</c:v>
                </c:pt>
              </c:numCache>
            </c:numRef>
          </c:xVal>
          <c:yVal>
            <c:numRef>
              <c:f>plot!$R$4:$R$104</c:f>
              <c:numCache>
                <c:formatCode>0.00</c:formatCode>
                <c:ptCount val="101"/>
                <c:pt idx="0">
                  <c:v>2.9180850794203344E-4</c:v>
                </c:pt>
                <c:pt idx="1">
                  <c:v>6.2567124933964619E-3</c:v>
                </c:pt>
                <c:pt idx="2">
                  <c:v>1.3883266074201964E-2</c:v>
                </c:pt>
                <c:pt idx="3">
                  <c:v>2.3522147168238704E-2</c:v>
                </c:pt>
                <c:pt idx="4">
                  <c:v>3.1339263416732863E-2</c:v>
                </c:pt>
                <c:pt idx="5">
                  <c:v>3.933540875680195E-2</c:v>
                </c:pt>
                <c:pt idx="6">
                  <c:v>4.6966839159412202E-2</c:v>
                </c:pt>
                <c:pt idx="7">
                  <c:v>5.2490942170849209E-2</c:v>
                </c:pt>
                <c:pt idx="8">
                  <c:v>5.7305530469901465E-2</c:v>
                </c:pt>
                <c:pt idx="9">
                  <c:v>6.1097163194710216E-2</c:v>
                </c:pt>
                <c:pt idx="10">
                  <c:v>6.2728733114681579E-2</c:v>
                </c:pt>
                <c:pt idx="11">
                  <c:v>6.4917318355275686E-2</c:v>
                </c:pt>
                <c:pt idx="12">
                  <c:v>6.5876841509912368E-2</c:v>
                </c:pt>
                <c:pt idx="13">
                  <c:v>6.6022100960663008E-2</c:v>
                </c:pt>
                <c:pt idx="14">
                  <c:v>6.616878407212963E-2</c:v>
                </c:pt>
                <c:pt idx="15">
                  <c:v>6.6010934765127843E-2</c:v>
                </c:pt>
                <c:pt idx="16">
                  <c:v>6.5805884100827661E-2</c:v>
                </c:pt>
                <c:pt idx="17">
                  <c:v>6.6147131136093468E-2</c:v>
                </c:pt>
                <c:pt idx="18">
                  <c:v>6.5826092106195791E-2</c:v>
                </c:pt>
                <c:pt idx="19">
                  <c:v>6.5445155021092952E-2</c:v>
                </c:pt>
                <c:pt idx="20">
                  <c:v>6.4480036816210992E-2</c:v>
                </c:pt>
                <c:pt idx="21">
                  <c:v>6.334069545342462E-2</c:v>
                </c:pt>
                <c:pt idx="22">
                  <c:v>6.1238555234045589E-2</c:v>
                </c:pt>
                <c:pt idx="23">
                  <c:v>5.8221874411810627E-2</c:v>
                </c:pt>
                <c:pt idx="24">
                  <c:v>5.44487978812297E-2</c:v>
                </c:pt>
                <c:pt idx="25">
                  <c:v>4.7806134032693091E-2</c:v>
                </c:pt>
                <c:pt idx="26">
                  <c:v>4.1409130656133206E-2</c:v>
                </c:pt>
                <c:pt idx="27">
                  <c:v>3.2694704172294572E-2</c:v>
                </c:pt>
                <c:pt idx="28">
                  <c:v>2.498875475648862E-2</c:v>
                </c:pt>
                <c:pt idx="29">
                  <c:v>1.6666358470800034E-2</c:v>
                </c:pt>
                <c:pt idx="30">
                  <c:v>8.3486401677882512E-3</c:v>
                </c:pt>
                <c:pt idx="31">
                  <c:v>1.7089496109398568E-3</c:v>
                </c:pt>
                <c:pt idx="32">
                  <c:v>-5.1262409678576714E-3</c:v>
                </c:pt>
                <c:pt idx="33">
                  <c:v>-1.2380932518489072E-2</c:v>
                </c:pt>
                <c:pt idx="34">
                  <c:v>-2.1112719771688888E-2</c:v>
                </c:pt>
                <c:pt idx="35">
                  <c:v>-2.9781348291741467E-2</c:v>
                </c:pt>
                <c:pt idx="36">
                  <c:v>-3.7765471565965929E-2</c:v>
                </c:pt>
                <c:pt idx="37">
                  <c:v>-4.5277602761138874E-2</c:v>
                </c:pt>
                <c:pt idx="38">
                  <c:v>-5.0552975730029544E-2</c:v>
                </c:pt>
                <c:pt idx="39">
                  <c:v>-5.5554293702507682E-2</c:v>
                </c:pt>
                <c:pt idx="40">
                  <c:v>-6.0004619292574064E-2</c:v>
                </c:pt>
                <c:pt idx="41">
                  <c:v>-6.2775486053295637E-2</c:v>
                </c:pt>
                <c:pt idx="42">
                  <c:v>-6.4108069010728408E-2</c:v>
                </c:pt>
                <c:pt idx="43">
                  <c:v>-6.534107613940289E-2</c:v>
                </c:pt>
                <c:pt idx="44">
                  <c:v>-6.558362123934347E-2</c:v>
                </c:pt>
                <c:pt idx="45">
                  <c:v>-6.6488663998817463E-2</c:v>
                </c:pt>
                <c:pt idx="46">
                  <c:v>-6.5785794615434073E-2</c:v>
                </c:pt>
                <c:pt idx="47">
                  <c:v>-6.5809695661949011E-2</c:v>
                </c:pt>
                <c:pt idx="48">
                  <c:v>-6.6606420382998119E-2</c:v>
                </c:pt>
                <c:pt idx="49">
                  <c:v>-6.5716141784748841E-2</c:v>
                </c:pt>
                <c:pt idx="50">
                  <c:v>-6.5802394609468184E-2</c:v>
                </c:pt>
                <c:pt idx="51">
                  <c:v>-6.5855468430278438E-2</c:v>
                </c:pt>
                <c:pt idx="52">
                  <c:v>-6.4738770434853196E-2</c:v>
                </c:pt>
                <c:pt idx="53">
                  <c:v>-6.252133093392076E-2</c:v>
                </c:pt>
                <c:pt idx="54">
                  <c:v>-5.9922648349896766E-2</c:v>
                </c:pt>
                <c:pt idx="55">
                  <c:v>-5.4885592178688082E-2</c:v>
                </c:pt>
                <c:pt idx="56">
                  <c:v>-4.9159169805471775E-2</c:v>
                </c:pt>
                <c:pt idx="57">
                  <c:v>-4.3024875292084944E-2</c:v>
                </c:pt>
                <c:pt idx="58">
                  <c:v>-3.570613422119525E-2</c:v>
                </c:pt>
                <c:pt idx="59">
                  <c:v>-2.7675690142138439E-2</c:v>
                </c:pt>
                <c:pt idx="60">
                  <c:v>-1.9104773481356876E-2</c:v>
                </c:pt>
                <c:pt idx="61">
                  <c:v>-1.0291507610461293E-2</c:v>
                </c:pt>
                <c:pt idx="62">
                  <c:v>-3.792969474964312E-3</c:v>
                </c:pt>
                <c:pt idx="63">
                  <c:v>2.9360179245613584E-3</c:v>
                </c:pt>
                <c:pt idx="64">
                  <c:v>1.0964006782932616E-2</c:v>
                </c:pt>
                <c:pt idx="65">
                  <c:v>1.8387073088653973E-2</c:v>
                </c:pt>
                <c:pt idx="66">
                  <c:v>2.7419509010586589E-2</c:v>
                </c:pt>
                <c:pt idx="67">
                  <c:v>3.5479126520455838E-2</c:v>
                </c:pt>
                <c:pt idx="68">
                  <c:v>4.2896645259947117E-2</c:v>
                </c:pt>
                <c:pt idx="69">
                  <c:v>4.9182590923726954E-2</c:v>
                </c:pt>
                <c:pt idx="70">
                  <c:v>5.5698893147596261E-2</c:v>
                </c:pt>
                <c:pt idx="71">
                  <c:v>5.943753949768505E-2</c:v>
                </c:pt>
                <c:pt idx="72">
                  <c:v>6.1619904144464187E-2</c:v>
                </c:pt>
                <c:pt idx="73">
                  <c:v>6.4699334421915569E-2</c:v>
                </c:pt>
                <c:pt idx="74">
                  <c:v>6.5232212202777209E-2</c:v>
                </c:pt>
                <c:pt idx="75">
                  <c:v>6.6022220486259012E-2</c:v>
                </c:pt>
                <c:pt idx="76">
                  <c:v>6.57444916635153E-2</c:v>
                </c:pt>
                <c:pt idx="77">
                  <c:v>6.5999315979373974E-2</c:v>
                </c:pt>
                <c:pt idx="78">
                  <c:v>6.5735480650105635E-2</c:v>
                </c:pt>
                <c:pt idx="79">
                  <c:v>6.5835067117142917E-2</c:v>
                </c:pt>
                <c:pt idx="80">
                  <c:v>6.5953492519946672E-2</c:v>
                </c:pt>
                <c:pt idx="81">
                  <c:v>6.6399221787277432E-2</c:v>
                </c:pt>
                <c:pt idx="82">
                  <c:v>6.563344259291734E-2</c:v>
                </c:pt>
                <c:pt idx="83">
                  <c:v>6.4162104006647305E-2</c:v>
                </c:pt>
                <c:pt idx="84">
                  <c:v>6.2252402750255259E-2</c:v>
                </c:pt>
                <c:pt idx="85">
                  <c:v>6.0326051196295992E-2</c:v>
                </c:pt>
                <c:pt idx="86">
                  <c:v>5.5586082866360666E-2</c:v>
                </c:pt>
                <c:pt idx="87">
                  <c:v>5.0854125685379697E-2</c:v>
                </c:pt>
                <c:pt idx="88">
                  <c:v>4.4152709571993104E-2</c:v>
                </c:pt>
                <c:pt idx="89">
                  <c:v>3.6680687562631098E-2</c:v>
                </c:pt>
                <c:pt idx="90">
                  <c:v>2.870109181810199E-2</c:v>
                </c:pt>
                <c:pt idx="91">
                  <c:v>2.1348413840385827E-2</c:v>
                </c:pt>
                <c:pt idx="92">
                  <c:v>1.2554575436776521E-2</c:v>
                </c:pt>
                <c:pt idx="93">
                  <c:v>5.4268945492014541E-3</c:v>
                </c:pt>
                <c:pt idx="94">
                  <c:v>-1.9621923720759492E-3</c:v>
                </c:pt>
                <c:pt idx="95">
                  <c:v>-8.4766214386051905E-3</c:v>
                </c:pt>
                <c:pt idx="96">
                  <c:v>-1.6669119268139802E-2</c:v>
                </c:pt>
                <c:pt idx="97">
                  <c:v>-2.4492782763604334E-2</c:v>
                </c:pt>
                <c:pt idx="98">
                  <c:v>-3.2779037319748794E-2</c:v>
                </c:pt>
                <c:pt idx="99">
                  <c:v>-4.1344676564902538E-2</c:v>
                </c:pt>
                <c:pt idx="100">
                  <c:v>-4.7466208544014496E-2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4B4-4FF5-8B91-A26403B6FFC7}"/>
            </c:ext>
          </c:extLst>
        </c:ser>
        <c:ser>
          <c:idx val="6"/>
          <c:order val="6"/>
          <c:tx>
            <c:strRef>
              <c:f>plot!$S$3</c:f>
              <c:strCache>
                <c:ptCount val="1"/>
                <c:pt idx="0">
                  <c:v>U7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plot!$L$4:$L$104</c:f>
              <c:numCache>
                <c:formatCode>General</c:formatCode>
                <c:ptCount val="10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  <c:pt idx="51">
                  <c:v>0.10200000000000008</c:v>
                </c:pt>
                <c:pt idx="52">
                  <c:v>0.10400000000000008</c:v>
                </c:pt>
                <c:pt idx="53">
                  <c:v>0.10600000000000008</c:v>
                </c:pt>
                <c:pt idx="54">
                  <c:v>0.10800000000000008</c:v>
                </c:pt>
                <c:pt idx="55">
                  <c:v>0.11000000000000008</c:v>
                </c:pt>
                <c:pt idx="56">
                  <c:v>0.11200000000000009</c:v>
                </c:pt>
                <c:pt idx="57">
                  <c:v>0.11400000000000009</c:v>
                </c:pt>
                <c:pt idx="58">
                  <c:v>0.11600000000000009</c:v>
                </c:pt>
                <c:pt idx="59">
                  <c:v>0.11800000000000009</c:v>
                </c:pt>
                <c:pt idx="60">
                  <c:v>0.12000000000000009</c:v>
                </c:pt>
                <c:pt idx="61">
                  <c:v>0.12200000000000009</c:v>
                </c:pt>
                <c:pt idx="62">
                  <c:v>0.1240000000000001</c:v>
                </c:pt>
                <c:pt idx="63">
                  <c:v>0.12600000000000008</c:v>
                </c:pt>
                <c:pt idx="64">
                  <c:v>0.12800000000000009</c:v>
                </c:pt>
                <c:pt idx="65">
                  <c:v>0.13000000000000009</c:v>
                </c:pt>
                <c:pt idx="66">
                  <c:v>0.13200000000000009</c:v>
                </c:pt>
                <c:pt idx="67">
                  <c:v>0.13400000000000009</c:v>
                </c:pt>
                <c:pt idx="68">
                  <c:v>0.13600000000000009</c:v>
                </c:pt>
                <c:pt idx="69">
                  <c:v>0.13800000000000009</c:v>
                </c:pt>
                <c:pt idx="70">
                  <c:v>0.1400000000000001</c:v>
                </c:pt>
                <c:pt idx="71">
                  <c:v>0.1420000000000001</c:v>
                </c:pt>
                <c:pt idx="72">
                  <c:v>0.1440000000000001</c:v>
                </c:pt>
                <c:pt idx="73">
                  <c:v>0.1460000000000001</c:v>
                </c:pt>
                <c:pt idx="74">
                  <c:v>0.1480000000000001</c:v>
                </c:pt>
                <c:pt idx="75">
                  <c:v>0.15000000000000011</c:v>
                </c:pt>
                <c:pt idx="76">
                  <c:v>0.15200000000000011</c:v>
                </c:pt>
                <c:pt idx="77">
                  <c:v>0.15400000000000011</c:v>
                </c:pt>
                <c:pt idx="78">
                  <c:v>0.15600000000000011</c:v>
                </c:pt>
                <c:pt idx="79">
                  <c:v>0.15800000000000011</c:v>
                </c:pt>
                <c:pt idx="80">
                  <c:v>0.16000000000000011</c:v>
                </c:pt>
                <c:pt idx="81">
                  <c:v>0.16200000000000012</c:v>
                </c:pt>
                <c:pt idx="82">
                  <c:v>0.16400000000000012</c:v>
                </c:pt>
                <c:pt idx="83">
                  <c:v>0.16600000000000012</c:v>
                </c:pt>
                <c:pt idx="84">
                  <c:v>0.16800000000000012</c:v>
                </c:pt>
                <c:pt idx="85">
                  <c:v>0.17000000000000012</c:v>
                </c:pt>
                <c:pt idx="86">
                  <c:v>0.17200000000000013</c:v>
                </c:pt>
                <c:pt idx="87">
                  <c:v>0.17400000000000013</c:v>
                </c:pt>
                <c:pt idx="88">
                  <c:v>0.17600000000000013</c:v>
                </c:pt>
                <c:pt idx="89">
                  <c:v>0.17800000000000013</c:v>
                </c:pt>
                <c:pt idx="90">
                  <c:v>0.18000000000000013</c:v>
                </c:pt>
                <c:pt idx="91">
                  <c:v>0.18200000000000013</c:v>
                </c:pt>
                <c:pt idx="92">
                  <c:v>0.18400000000000014</c:v>
                </c:pt>
                <c:pt idx="93">
                  <c:v>0.18600000000000014</c:v>
                </c:pt>
                <c:pt idx="94">
                  <c:v>0.18800000000000014</c:v>
                </c:pt>
                <c:pt idx="95">
                  <c:v>0.19000000000000014</c:v>
                </c:pt>
                <c:pt idx="96">
                  <c:v>0.19200000000000014</c:v>
                </c:pt>
                <c:pt idx="97">
                  <c:v>0.19400000000000014</c:v>
                </c:pt>
                <c:pt idx="98">
                  <c:v>0.19600000000000015</c:v>
                </c:pt>
                <c:pt idx="99">
                  <c:v>0.19800000000000015</c:v>
                </c:pt>
                <c:pt idx="100">
                  <c:v>0.20000000000000015</c:v>
                </c:pt>
              </c:numCache>
            </c:numRef>
          </c:xVal>
          <c:yVal>
            <c:numRef>
              <c:f>plot!$S$4:$S$104</c:f>
              <c:numCache>
                <c:formatCode>0.00</c:formatCode>
                <c:ptCount val="101"/>
                <c:pt idx="0">
                  <c:v>3.6533991502356317E-4</c:v>
                </c:pt>
                <c:pt idx="1">
                  <c:v>7.1820764550019362E-3</c:v>
                </c:pt>
                <c:pt idx="2">
                  <c:v>1.5941242784938116E-2</c:v>
                </c:pt>
                <c:pt idx="3">
                  <c:v>2.457338475633793E-2</c:v>
                </c:pt>
                <c:pt idx="4">
                  <c:v>3.2731990334010655E-2</c:v>
                </c:pt>
                <c:pt idx="5">
                  <c:v>4.1448247328378297E-2</c:v>
                </c:pt>
                <c:pt idx="6">
                  <c:v>4.9301409076161082E-2</c:v>
                </c:pt>
                <c:pt idx="7">
                  <c:v>5.6227698986463626E-2</c:v>
                </c:pt>
                <c:pt idx="8">
                  <c:v>6.0551498504956683E-2</c:v>
                </c:pt>
                <c:pt idx="9">
                  <c:v>6.4270479415041257E-2</c:v>
                </c:pt>
                <c:pt idx="10">
                  <c:v>6.7533627722364556E-2</c:v>
                </c:pt>
                <c:pt idx="11">
                  <c:v>6.8304781096228076E-2</c:v>
                </c:pt>
                <c:pt idx="12">
                  <c:v>7.0191689494311829E-2</c:v>
                </c:pt>
                <c:pt idx="13">
                  <c:v>6.9801185662456758E-2</c:v>
                </c:pt>
                <c:pt idx="14">
                  <c:v>7.0422954941457283E-2</c:v>
                </c:pt>
                <c:pt idx="15">
                  <c:v>6.9836007358167487E-2</c:v>
                </c:pt>
                <c:pt idx="16">
                  <c:v>6.9277120618100679E-2</c:v>
                </c:pt>
                <c:pt idx="17">
                  <c:v>7.0197788696640548E-2</c:v>
                </c:pt>
                <c:pt idx="18">
                  <c:v>6.9578432627331641E-2</c:v>
                </c:pt>
                <c:pt idx="19">
                  <c:v>6.98027248499513E-2</c:v>
                </c:pt>
                <c:pt idx="20">
                  <c:v>6.9190614033101214E-2</c:v>
                </c:pt>
                <c:pt idx="21">
                  <c:v>6.7538488798992727E-2</c:v>
                </c:pt>
                <c:pt idx="22">
                  <c:v>6.5151752496687726E-2</c:v>
                </c:pt>
                <c:pt idx="23">
                  <c:v>6.1269226093436213E-2</c:v>
                </c:pt>
                <c:pt idx="24">
                  <c:v>5.702635246949244E-2</c:v>
                </c:pt>
                <c:pt idx="25">
                  <c:v>5.0330943708095745E-2</c:v>
                </c:pt>
                <c:pt idx="26">
                  <c:v>4.3750235307490205E-2</c:v>
                </c:pt>
                <c:pt idx="27">
                  <c:v>3.5289631951082194E-2</c:v>
                </c:pt>
                <c:pt idx="28">
                  <c:v>2.626273704661141E-2</c:v>
                </c:pt>
                <c:pt idx="29">
                  <c:v>1.7192625541444101E-2</c:v>
                </c:pt>
                <c:pt idx="30">
                  <c:v>9.6919322414245092E-3</c:v>
                </c:pt>
                <c:pt idx="31">
                  <c:v>1.0774438891267371E-3</c:v>
                </c:pt>
                <c:pt idx="32">
                  <c:v>-5.4685867859798282E-3</c:v>
                </c:pt>
                <c:pt idx="33">
                  <c:v>-1.2776379894980146E-2</c:v>
                </c:pt>
                <c:pt idx="34">
                  <c:v>-2.1485501426260385E-2</c:v>
                </c:pt>
                <c:pt idx="35">
                  <c:v>-3.0545172506150683E-2</c:v>
                </c:pt>
                <c:pt idx="36">
                  <c:v>-4.013054129598858E-2</c:v>
                </c:pt>
                <c:pt idx="37">
                  <c:v>-4.7831513405865826E-2</c:v>
                </c:pt>
                <c:pt idx="38">
                  <c:v>-5.4021962087459199E-2</c:v>
                </c:pt>
                <c:pt idx="39">
                  <c:v>-6.0246818621817924E-2</c:v>
                </c:pt>
                <c:pt idx="40">
                  <c:v>-6.3903309576869849E-2</c:v>
                </c:pt>
                <c:pt idx="41">
                  <c:v>-6.6333298656668149E-2</c:v>
                </c:pt>
                <c:pt idx="42">
                  <c:v>-6.8685792767994608E-2</c:v>
                </c:pt>
                <c:pt idx="43">
                  <c:v>-6.9901765057204288E-2</c:v>
                </c:pt>
                <c:pt idx="44">
                  <c:v>-7.0240831829162659E-2</c:v>
                </c:pt>
                <c:pt idx="45">
                  <c:v>-7.0131200108032102E-2</c:v>
                </c:pt>
                <c:pt idx="46">
                  <c:v>-6.9349390681969617E-2</c:v>
                </c:pt>
                <c:pt idx="47">
                  <c:v>-6.9678852386893086E-2</c:v>
                </c:pt>
                <c:pt idx="48">
                  <c:v>-7.0592604505586312E-2</c:v>
                </c:pt>
                <c:pt idx="49">
                  <c:v>-7.0329050591450698E-2</c:v>
                </c:pt>
                <c:pt idx="50">
                  <c:v>-7.0290831402696055E-2</c:v>
                </c:pt>
                <c:pt idx="51">
                  <c:v>-6.9955865821627453E-2</c:v>
                </c:pt>
                <c:pt idx="52">
                  <c:v>-6.8225049468972468E-2</c:v>
                </c:pt>
                <c:pt idx="53">
                  <c:v>-6.5939330815263542E-2</c:v>
                </c:pt>
                <c:pt idx="54">
                  <c:v>-6.3325119678661029E-2</c:v>
                </c:pt>
                <c:pt idx="55">
                  <c:v>-5.7708130088324115E-2</c:v>
                </c:pt>
                <c:pt idx="56">
                  <c:v>-5.1923134604768439E-2</c:v>
                </c:pt>
                <c:pt idx="57">
                  <c:v>-4.5541657540477828E-2</c:v>
                </c:pt>
                <c:pt idx="58">
                  <c:v>-3.7292274001038288E-2</c:v>
                </c:pt>
                <c:pt idx="59">
                  <c:v>-2.830531089268204E-2</c:v>
                </c:pt>
                <c:pt idx="60">
                  <c:v>-2.0174907544839901E-2</c:v>
                </c:pt>
                <c:pt idx="61">
                  <c:v>-1.1243177408491867E-2</c:v>
                </c:pt>
                <c:pt idx="62">
                  <c:v>-3.1881340341398221E-3</c:v>
                </c:pt>
                <c:pt idx="63">
                  <c:v>2.9035912628673994E-3</c:v>
                </c:pt>
                <c:pt idx="64">
                  <c:v>1.1215254235793318E-2</c:v>
                </c:pt>
                <c:pt idx="65">
                  <c:v>1.9179700583434277E-2</c:v>
                </c:pt>
                <c:pt idx="66">
                  <c:v>2.8451994473839396E-2</c:v>
                </c:pt>
                <c:pt idx="67">
                  <c:v>3.7094408350399816E-2</c:v>
                </c:pt>
                <c:pt idx="68">
                  <c:v>4.564393182477848E-2</c:v>
                </c:pt>
                <c:pt idx="69">
                  <c:v>5.2935007405883083E-2</c:v>
                </c:pt>
                <c:pt idx="70">
                  <c:v>5.8541044946005219E-2</c:v>
                </c:pt>
                <c:pt idx="71">
                  <c:v>6.2978703769460451E-2</c:v>
                </c:pt>
                <c:pt idx="72">
                  <c:v>6.5626180578098769E-2</c:v>
                </c:pt>
                <c:pt idx="73">
                  <c:v>6.8167590765422822E-2</c:v>
                </c:pt>
                <c:pt idx="74">
                  <c:v>6.8963545375324814E-2</c:v>
                </c:pt>
                <c:pt idx="75">
                  <c:v>7.0093558597484368E-2</c:v>
                </c:pt>
                <c:pt idx="76">
                  <c:v>7.0467181434591394E-2</c:v>
                </c:pt>
                <c:pt idx="77">
                  <c:v>6.999863158206783E-2</c:v>
                </c:pt>
                <c:pt idx="78">
                  <c:v>6.9927389444297813E-2</c:v>
                </c:pt>
                <c:pt idx="79">
                  <c:v>7.0175316928756185E-2</c:v>
                </c:pt>
                <c:pt idx="80">
                  <c:v>7.0275541930934424E-2</c:v>
                </c:pt>
                <c:pt idx="81">
                  <c:v>7.0180533030806583E-2</c:v>
                </c:pt>
                <c:pt idx="82">
                  <c:v>6.9940262502405676E-2</c:v>
                </c:pt>
                <c:pt idx="83">
                  <c:v>6.8943941705741876E-2</c:v>
                </c:pt>
                <c:pt idx="84">
                  <c:v>6.6446098607908996E-2</c:v>
                </c:pt>
                <c:pt idx="85">
                  <c:v>6.400883867158727E-2</c:v>
                </c:pt>
                <c:pt idx="86">
                  <c:v>5.9815471561655606E-2</c:v>
                </c:pt>
                <c:pt idx="87">
                  <c:v>5.3560370778374743E-2</c:v>
                </c:pt>
                <c:pt idx="88">
                  <c:v>4.8108220337648173E-2</c:v>
                </c:pt>
                <c:pt idx="89">
                  <c:v>3.940917413455295E-2</c:v>
                </c:pt>
                <c:pt idx="90">
                  <c:v>3.0481970132507894E-2</c:v>
                </c:pt>
                <c:pt idx="91">
                  <c:v>2.182285758001647E-2</c:v>
                </c:pt>
                <c:pt idx="92">
                  <c:v>1.3481749892748187E-2</c:v>
                </c:pt>
                <c:pt idx="93">
                  <c:v>5.2127942167593663E-3</c:v>
                </c:pt>
                <c:pt idx="94">
                  <c:v>-1.1739093032443713E-3</c:v>
                </c:pt>
                <c:pt idx="95">
                  <c:v>-8.8944410428777095E-3</c:v>
                </c:pt>
                <c:pt idx="96">
                  <c:v>-1.7086124132325773E-2</c:v>
                </c:pt>
                <c:pt idx="97">
                  <c:v>-2.7019246718700093E-2</c:v>
                </c:pt>
                <c:pt idx="98">
                  <c:v>-3.4881077761343048E-2</c:v>
                </c:pt>
                <c:pt idx="99">
                  <c:v>-4.3046701364366904E-2</c:v>
                </c:pt>
                <c:pt idx="100">
                  <c:v>-5.0426721921160482E-2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B4-4FF5-8B91-A26403B6FFC7}"/>
            </c:ext>
          </c:extLst>
        </c:ser>
        <c:ser>
          <c:idx val="7"/>
          <c:order val="7"/>
          <c:tx>
            <c:strRef>
              <c:f>plot!$T$3</c:f>
              <c:strCache>
                <c:ptCount val="1"/>
                <c:pt idx="0">
                  <c:v>U8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plot!$L$4:$L$104</c:f>
              <c:numCache>
                <c:formatCode>General</c:formatCode>
                <c:ptCount val="10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  <c:pt idx="51">
                  <c:v>0.10200000000000008</c:v>
                </c:pt>
                <c:pt idx="52">
                  <c:v>0.10400000000000008</c:v>
                </c:pt>
                <c:pt idx="53">
                  <c:v>0.10600000000000008</c:v>
                </c:pt>
                <c:pt idx="54">
                  <c:v>0.10800000000000008</c:v>
                </c:pt>
                <c:pt idx="55">
                  <c:v>0.11000000000000008</c:v>
                </c:pt>
                <c:pt idx="56">
                  <c:v>0.11200000000000009</c:v>
                </c:pt>
                <c:pt idx="57">
                  <c:v>0.11400000000000009</c:v>
                </c:pt>
                <c:pt idx="58">
                  <c:v>0.11600000000000009</c:v>
                </c:pt>
                <c:pt idx="59">
                  <c:v>0.11800000000000009</c:v>
                </c:pt>
                <c:pt idx="60">
                  <c:v>0.12000000000000009</c:v>
                </c:pt>
                <c:pt idx="61">
                  <c:v>0.12200000000000009</c:v>
                </c:pt>
                <c:pt idx="62">
                  <c:v>0.1240000000000001</c:v>
                </c:pt>
                <c:pt idx="63">
                  <c:v>0.12600000000000008</c:v>
                </c:pt>
                <c:pt idx="64">
                  <c:v>0.12800000000000009</c:v>
                </c:pt>
                <c:pt idx="65">
                  <c:v>0.13000000000000009</c:v>
                </c:pt>
                <c:pt idx="66">
                  <c:v>0.13200000000000009</c:v>
                </c:pt>
                <c:pt idx="67">
                  <c:v>0.13400000000000009</c:v>
                </c:pt>
                <c:pt idx="68">
                  <c:v>0.13600000000000009</c:v>
                </c:pt>
                <c:pt idx="69">
                  <c:v>0.13800000000000009</c:v>
                </c:pt>
                <c:pt idx="70">
                  <c:v>0.1400000000000001</c:v>
                </c:pt>
                <c:pt idx="71">
                  <c:v>0.1420000000000001</c:v>
                </c:pt>
                <c:pt idx="72">
                  <c:v>0.1440000000000001</c:v>
                </c:pt>
                <c:pt idx="73">
                  <c:v>0.1460000000000001</c:v>
                </c:pt>
                <c:pt idx="74">
                  <c:v>0.1480000000000001</c:v>
                </c:pt>
                <c:pt idx="75">
                  <c:v>0.15000000000000011</c:v>
                </c:pt>
                <c:pt idx="76">
                  <c:v>0.15200000000000011</c:v>
                </c:pt>
                <c:pt idx="77">
                  <c:v>0.15400000000000011</c:v>
                </c:pt>
                <c:pt idx="78">
                  <c:v>0.15600000000000011</c:v>
                </c:pt>
                <c:pt idx="79">
                  <c:v>0.15800000000000011</c:v>
                </c:pt>
                <c:pt idx="80">
                  <c:v>0.16000000000000011</c:v>
                </c:pt>
                <c:pt idx="81">
                  <c:v>0.16200000000000012</c:v>
                </c:pt>
                <c:pt idx="82">
                  <c:v>0.16400000000000012</c:v>
                </c:pt>
                <c:pt idx="83">
                  <c:v>0.16600000000000012</c:v>
                </c:pt>
                <c:pt idx="84">
                  <c:v>0.16800000000000012</c:v>
                </c:pt>
                <c:pt idx="85">
                  <c:v>0.17000000000000012</c:v>
                </c:pt>
                <c:pt idx="86">
                  <c:v>0.17200000000000013</c:v>
                </c:pt>
                <c:pt idx="87">
                  <c:v>0.17400000000000013</c:v>
                </c:pt>
                <c:pt idx="88">
                  <c:v>0.17600000000000013</c:v>
                </c:pt>
                <c:pt idx="89">
                  <c:v>0.17800000000000013</c:v>
                </c:pt>
                <c:pt idx="90">
                  <c:v>0.18000000000000013</c:v>
                </c:pt>
                <c:pt idx="91">
                  <c:v>0.18200000000000013</c:v>
                </c:pt>
                <c:pt idx="92">
                  <c:v>0.18400000000000014</c:v>
                </c:pt>
                <c:pt idx="93">
                  <c:v>0.18600000000000014</c:v>
                </c:pt>
                <c:pt idx="94">
                  <c:v>0.18800000000000014</c:v>
                </c:pt>
                <c:pt idx="95">
                  <c:v>0.19000000000000014</c:v>
                </c:pt>
                <c:pt idx="96">
                  <c:v>0.19200000000000014</c:v>
                </c:pt>
                <c:pt idx="97">
                  <c:v>0.19400000000000014</c:v>
                </c:pt>
                <c:pt idx="98">
                  <c:v>0.19600000000000015</c:v>
                </c:pt>
                <c:pt idx="99">
                  <c:v>0.19800000000000015</c:v>
                </c:pt>
                <c:pt idx="100">
                  <c:v>0.20000000000000015</c:v>
                </c:pt>
              </c:numCache>
            </c:numRef>
          </c:xVal>
          <c:yVal>
            <c:numRef>
              <c:f>plot!$T$4:$T$104</c:f>
              <c:numCache>
                <c:formatCode>0.00</c:formatCode>
                <c:ptCount val="101"/>
                <c:pt idx="0">
                  <c:v>8.8385004641224432E-5</c:v>
                </c:pt>
                <c:pt idx="1">
                  <c:v>6.8594179894778057E-3</c:v>
                </c:pt>
                <c:pt idx="2">
                  <c:v>1.6707319417752275E-2</c:v>
                </c:pt>
                <c:pt idx="3">
                  <c:v>2.5487528893125871E-2</c:v>
                </c:pt>
                <c:pt idx="4">
                  <c:v>3.531646912839706E-2</c:v>
                </c:pt>
                <c:pt idx="5">
                  <c:v>4.3586230737092946E-2</c:v>
                </c:pt>
                <c:pt idx="6">
                  <c:v>5.2330916506778805E-2</c:v>
                </c:pt>
                <c:pt idx="7">
                  <c:v>5.9058688869819333E-2</c:v>
                </c:pt>
                <c:pt idx="8">
                  <c:v>6.4166417697841829E-2</c:v>
                </c:pt>
                <c:pt idx="9">
                  <c:v>6.8533864914683232E-2</c:v>
                </c:pt>
                <c:pt idx="10">
                  <c:v>7.0825898863311101E-2</c:v>
                </c:pt>
                <c:pt idx="11">
                  <c:v>7.2095655800598124E-2</c:v>
                </c:pt>
                <c:pt idx="12">
                  <c:v>7.3773345450443437E-2</c:v>
                </c:pt>
                <c:pt idx="13">
                  <c:v>7.3873652233640771E-2</c:v>
                </c:pt>
                <c:pt idx="14">
                  <c:v>7.3496909451194789E-2</c:v>
                </c:pt>
                <c:pt idx="15">
                  <c:v>7.3404891039821188E-2</c:v>
                </c:pt>
                <c:pt idx="16">
                  <c:v>7.3820082226376926E-2</c:v>
                </c:pt>
                <c:pt idx="17">
                  <c:v>7.4334734095274579E-2</c:v>
                </c:pt>
                <c:pt idx="18">
                  <c:v>7.3347229073103537E-2</c:v>
                </c:pt>
                <c:pt idx="19">
                  <c:v>7.3563098269142882E-2</c:v>
                </c:pt>
                <c:pt idx="20">
                  <c:v>7.243383887359478E-2</c:v>
                </c:pt>
                <c:pt idx="21">
                  <c:v>7.1849080236456003E-2</c:v>
                </c:pt>
                <c:pt idx="22">
                  <c:v>6.8663826095472003E-2</c:v>
                </c:pt>
                <c:pt idx="23">
                  <c:v>6.6048985558802245E-2</c:v>
                </c:pt>
                <c:pt idx="24">
                  <c:v>6.0915567107045536E-2</c:v>
                </c:pt>
                <c:pt idx="25">
                  <c:v>5.3596497839538064E-2</c:v>
                </c:pt>
                <c:pt idx="26">
                  <c:v>4.6548361866013688E-2</c:v>
                </c:pt>
                <c:pt idx="27">
                  <c:v>3.7419073057066946E-2</c:v>
                </c:pt>
                <c:pt idx="28">
                  <c:v>2.7559982880535065E-2</c:v>
                </c:pt>
                <c:pt idx="29">
                  <c:v>1.7845848393753E-2</c:v>
                </c:pt>
                <c:pt idx="30">
                  <c:v>9.1347524896179446E-3</c:v>
                </c:pt>
                <c:pt idx="31">
                  <c:v>2.2586715631376492E-3</c:v>
                </c:pt>
                <c:pt idx="32">
                  <c:v>-5.8587745959063804E-3</c:v>
                </c:pt>
                <c:pt idx="33">
                  <c:v>-1.3630859926649476E-2</c:v>
                </c:pt>
                <c:pt idx="34">
                  <c:v>-2.3412336685540897E-2</c:v>
                </c:pt>
                <c:pt idx="35">
                  <c:v>-3.2735062275468123E-2</c:v>
                </c:pt>
                <c:pt idx="36">
                  <c:v>-4.187332751615417E-2</c:v>
                </c:pt>
                <c:pt idx="37">
                  <c:v>-4.948216197430913E-2</c:v>
                </c:pt>
                <c:pt idx="38">
                  <c:v>-5.7034531340701737E-2</c:v>
                </c:pt>
                <c:pt idx="39">
                  <c:v>-6.3093795632167007E-2</c:v>
                </c:pt>
                <c:pt idx="40">
                  <c:v>-6.7173877658435507E-2</c:v>
                </c:pt>
                <c:pt idx="41">
                  <c:v>-7.0375431024634907E-2</c:v>
                </c:pt>
                <c:pt idx="42">
                  <c:v>-7.2160181508010041E-2</c:v>
                </c:pt>
                <c:pt idx="43">
                  <c:v>-7.3715066641776614E-2</c:v>
                </c:pt>
                <c:pt idx="44">
                  <c:v>-7.3966920127811878E-2</c:v>
                </c:pt>
                <c:pt idx="45">
                  <c:v>-7.4010971666119529E-2</c:v>
                </c:pt>
                <c:pt idx="46">
                  <c:v>-7.3461387559309893E-2</c:v>
                </c:pt>
                <c:pt idx="47">
                  <c:v>-7.460064169697736E-2</c:v>
                </c:pt>
                <c:pt idx="48">
                  <c:v>-7.4644348669496499E-2</c:v>
                </c:pt>
                <c:pt idx="49">
                  <c:v>-7.4583599645615409E-2</c:v>
                </c:pt>
                <c:pt idx="50">
                  <c:v>-7.4108487613728263E-2</c:v>
                </c:pt>
                <c:pt idx="51">
                  <c:v>-7.3660761131523117E-2</c:v>
                </c:pt>
                <c:pt idx="52">
                  <c:v>-7.160708656061178E-2</c:v>
                </c:pt>
                <c:pt idx="53">
                  <c:v>-7.0107683319228592E-2</c:v>
                </c:pt>
                <c:pt idx="54">
                  <c:v>-6.6446910902436165E-2</c:v>
                </c:pt>
                <c:pt idx="55">
                  <c:v>-6.2001055675601324E-2</c:v>
                </c:pt>
                <c:pt idx="56">
                  <c:v>-5.5401260138295036E-2</c:v>
                </c:pt>
                <c:pt idx="57">
                  <c:v>-4.7908547080426238E-2</c:v>
                </c:pt>
                <c:pt idx="58">
                  <c:v>-3.8989741948744834E-2</c:v>
                </c:pt>
                <c:pt idx="59">
                  <c:v>-3.0199025790664549E-2</c:v>
                </c:pt>
                <c:pt idx="60">
                  <c:v>-2.1188878803414971E-2</c:v>
                </c:pt>
                <c:pt idx="61">
                  <c:v>-1.1616945621872859E-2</c:v>
                </c:pt>
                <c:pt idx="62">
                  <c:v>-4.0578714118866812E-3</c:v>
                </c:pt>
                <c:pt idx="63">
                  <c:v>3.5904857389080502E-3</c:v>
                </c:pt>
                <c:pt idx="64">
                  <c:v>1.1491503028616868E-2</c:v>
                </c:pt>
                <c:pt idx="65">
                  <c:v>2.0240350699482785E-2</c:v>
                </c:pt>
                <c:pt idx="66">
                  <c:v>3.0522650846760459E-2</c:v>
                </c:pt>
                <c:pt idx="67">
                  <c:v>4.0273806054192993E-2</c:v>
                </c:pt>
                <c:pt idx="68">
                  <c:v>4.8301689668886386E-2</c:v>
                </c:pt>
                <c:pt idx="69">
                  <c:v>5.5826803783762501E-2</c:v>
                </c:pt>
                <c:pt idx="70">
                  <c:v>6.1441458712202572E-2</c:v>
                </c:pt>
                <c:pt idx="71">
                  <c:v>6.6458823074762322E-2</c:v>
                </c:pt>
                <c:pt idx="72">
                  <c:v>6.9328191888100146E-2</c:v>
                </c:pt>
                <c:pt idx="73">
                  <c:v>7.2261471530701962E-2</c:v>
                </c:pt>
                <c:pt idx="74">
                  <c:v>7.2719108375359567E-2</c:v>
                </c:pt>
                <c:pt idx="75">
                  <c:v>7.3973619963234385E-2</c:v>
                </c:pt>
                <c:pt idx="76">
                  <c:v>7.3785678110024705E-2</c:v>
                </c:pt>
                <c:pt idx="77">
                  <c:v>7.3604353699504826E-2</c:v>
                </c:pt>
                <c:pt idx="78">
                  <c:v>7.4405044642557108E-2</c:v>
                </c:pt>
                <c:pt idx="79">
                  <c:v>7.3577672593896984E-2</c:v>
                </c:pt>
                <c:pt idx="80">
                  <c:v>7.3453937312279075E-2</c:v>
                </c:pt>
                <c:pt idx="81">
                  <c:v>7.4565113432041183E-2</c:v>
                </c:pt>
                <c:pt idx="82">
                  <c:v>7.3414810449900891E-2</c:v>
                </c:pt>
                <c:pt idx="83">
                  <c:v>7.1756733121196625E-2</c:v>
                </c:pt>
                <c:pt idx="84">
                  <c:v>7.0026889760568492E-2</c:v>
                </c:pt>
                <c:pt idx="85">
                  <c:v>6.7086149975526407E-2</c:v>
                </c:pt>
                <c:pt idx="86">
                  <c:v>6.3301349703963478E-2</c:v>
                </c:pt>
                <c:pt idx="87">
                  <c:v>5.7087096006452349E-2</c:v>
                </c:pt>
                <c:pt idx="88">
                  <c:v>4.9475841538642235E-2</c:v>
                </c:pt>
                <c:pt idx="89">
                  <c:v>4.1972555150846774E-2</c:v>
                </c:pt>
                <c:pt idx="90">
                  <c:v>3.2871996286512051E-2</c:v>
                </c:pt>
                <c:pt idx="91">
                  <c:v>2.341005188857825E-2</c:v>
                </c:pt>
                <c:pt idx="92">
                  <c:v>1.440859874698068E-2</c:v>
                </c:pt>
                <c:pt idx="93">
                  <c:v>5.5525079042174769E-3</c:v>
                </c:pt>
                <c:pt idx="94">
                  <c:v>-1.722512824543969E-3</c:v>
                </c:pt>
                <c:pt idx="95">
                  <c:v>-9.2630106997314901E-3</c:v>
                </c:pt>
                <c:pt idx="96">
                  <c:v>-1.8473147804719165E-2</c:v>
                </c:pt>
                <c:pt idx="97">
                  <c:v>-2.7609641878607798E-2</c:v>
                </c:pt>
                <c:pt idx="98">
                  <c:v>-3.7744776179060677E-2</c:v>
                </c:pt>
                <c:pt idx="99">
                  <c:v>-4.6160683031914097E-2</c:v>
                </c:pt>
                <c:pt idx="100">
                  <c:v>-5.4430601518442638E-2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B4-4FF5-8B91-A26403B6F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42048"/>
        <c:axId val="466749120"/>
      </c:scatterChart>
      <c:valAx>
        <c:axId val="466742048"/>
        <c:scaling>
          <c:orientation val="minMax"/>
          <c:max val="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466749120"/>
        <c:crosses val="autoZero"/>
        <c:crossBetween val="midCat"/>
      </c:valAx>
      <c:valAx>
        <c:axId val="46674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46674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Funktion magnet vs</a:t>
            </a:r>
            <a:r>
              <a:rPr lang="en-US" baseline="0"/>
              <a:t> sinus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Rot!$D$10</c:f>
              <c:strCache>
                <c:ptCount val="1"/>
                <c:pt idx="0">
                  <c:v>Sin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Rot!$C$11:$C$74</c:f>
              <c:numCache>
                <c:formatCode>General</c:formatCode>
                <c:ptCount val="6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</c:numCache>
            </c:numRef>
          </c:xVal>
          <c:yVal>
            <c:numRef>
              <c:f>Rot!$D$11:$D$74</c:f>
              <c:numCache>
                <c:formatCode>0.000</c:formatCode>
                <c:ptCount val="64"/>
                <c:pt idx="0">
                  <c:v>0</c:v>
                </c:pt>
                <c:pt idx="1">
                  <c:v>9.9833416646828155E-2</c:v>
                </c:pt>
                <c:pt idx="2">
                  <c:v>0.19866933079506122</c:v>
                </c:pt>
                <c:pt idx="3">
                  <c:v>0.2955202066613396</c:v>
                </c:pt>
                <c:pt idx="4">
                  <c:v>0.38941834230865052</c:v>
                </c:pt>
                <c:pt idx="5">
                  <c:v>0.47942553860420301</c:v>
                </c:pt>
                <c:pt idx="6">
                  <c:v>0.56464247339503537</c:v>
                </c:pt>
                <c:pt idx="7">
                  <c:v>0.64421768723769102</c:v>
                </c:pt>
                <c:pt idx="8">
                  <c:v>0.71735609089952268</c:v>
                </c:pt>
                <c:pt idx="9">
                  <c:v>0.7833269096274833</c:v>
                </c:pt>
                <c:pt idx="10">
                  <c:v>0.84147098480789639</c:v>
                </c:pt>
                <c:pt idx="11">
                  <c:v>0.89120736006143531</c:v>
                </c:pt>
                <c:pt idx="12">
                  <c:v>0.93203908596722629</c:v>
                </c:pt>
                <c:pt idx="13">
                  <c:v>0.96355818541719296</c:v>
                </c:pt>
                <c:pt idx="14">
                  <c:v>0.98544972998846025</c:v>
                </c:pt>
                <c:pt idx="15">
                  <c:v>0.99749498660405445</c:v>
                </c:pt>
                <c:pt idx="16">
                  <c:v>0.99957360304150511</c:v>
                </c:pt>
                <c:pt idx="17">
                  <c:v>0.99166481045246857</c:v>
                </c:pt>
                <c:pt idx="18">
                  <c:v>0.97384763087819504</c:v>
                </c:pt>
                <c:pt idx="19">
                  <c:v>0.94630008768741425</c:v>
                </c:pt>
                <c:pt idx="20">
                  <c:v>0.90929742682568149</c:v>
                </c:pt>
                <c:pt idx="21">
                  <c:v>0.86320936664887349</c:v>
                </c:pt>
                <c:pt idx="22">
                  <c:v>0.80849640381958987</c:v>
                </c:pt>
                <c:pt idx="23">
                  <c:v>0.7457052121767197</c:v>
                </c:pt>
                <c:pt idx="24">
                  <c:v>0.67546318055115029</c:v>
                </c:pt>
                <c:pt idx="25">
                  <c:v>0.59847214410395577</c:v>
                </c:pt>
                <c:pt idx="26">
                  <c:v>0.51550137182146338</c:v>
                </c:pt>
                <c:pt idx="27">
                  <c:v>0.42737988023382895</c:v>
                </c:pt>
                <c:pt idx="28">
                  <c:v>0.33498815015590383</c:v>
                </c:pt>
                <c:pt idx="29">
                  <c:v>0.23924932921398112</c:v>
                </c:pt>
                <c:pt idx="30">
                  <c:v>0.14112000805986591</c:v>
                </c:pt>
                <c:pt idx="31">
                  <c:v>4.1580662433289159E-2</c:v>
                </c:pt>
                <c:pt idx="32">
                  <c:v>-5.8374143427581418E-2</c:v>
                </c:pt>
                <c:pt idx="33">
                  <c:v>-0.15774569414324996</c:v>
                </c:pt>
                <c:pt idx="34">
                  <c:v>-0.25554110202683294</c:v>
                </c:pt>
                <c:pt idx="35">
                  <c:v>-0.3507832276896215</c:v>
                </c:pt>
                <c:pt idx="36">
                  <c:v>-0.44252044329485407</c:v>
                </c:pt>
                <c:pt idx="37">
                  <c:v>-0.52983614090849485</c:v>
                </c:pt>
                <c:pt idx="38">
                  <c:v>-0.61185789094272069</c:v>
                </c:pt>
                <c:pt idx="39">
                  <c:v>-0.68776615918397532</c:v>
                </c:pt>
                <c:pt idx="40">
                  <c:v>-0.75680249530792942</c:v>
                </c:pt>
                <c:pt idx="41">
                  <c:v>-0.81827711106441137</c:v>
                </c:pt>
                <c:pt idx="42">
                  <c:v>-0.87157577241358863</c:v>
                </c:pt>
                <c:pt idx="43">
                  <c:v>-0.91616593674945523</c:v>
                </c:pt>
                <c:pt idx="44">
                  <c:v>-0.95160207388951601</c:v>
                </c:pt>
                <c:pt idx="45">
                  <c:v>-0.97753011766509701</c:v>
                </c:pt>
                <c:pt idx="46">
                  <c:v>-0.99369100363346441</c:v>
                </c:pt>
                <c:pt idx="47">
                  <c:v>-0.99992325756410083</c:v>
                </c:pt>
                <c:pt idx="48">
                  <c:v>-0.99616460883584079</c:v>
                </c:pt>
                <c:pt idx="49">
                  <c:v>-0.98245261262433281</c:v>
                </c:pt>
                <c:pt idx="50">
                  <c:v>-0.95892427466313901</c:v>
                </c:pt>
                <c:pt idx="51">
                  <c:v>-0.92581468232773312</c:v>
                </c:pt>
                <c:pt idx="52">
                  <c:v>-0.88345465572015447</c:v>
                </c:pt>
                <c:pt idx="53">
                  <c:v>-0.8322674422239027</c:v>
                </c:pt>
                <c:pt idx="54">
                  <c:v>-0.77276448755598937</c:v>
                </c:pt>
                <c:pt idx="55">
                  <c:v>-0.70554032557039448</c:v>
                </c:pt>
                <c:pt idx="56">
                  <c:v>-0.63126663787232429</c:v>
                </c:pt>
                <c:pt idx="57">
                  <c:v>-0.55068554259764135</c:v>
                </c:pt>
                <c:pt idx="58">
                  <c:v>-0.46460217941376131</c:v>
                </c:pt>
                <c:pt idx="59">
                  <c:v>-0.37387666483024096</c:v>
                </c:pt>
                <c:pt idx="60">
                  <c:v>-0.27941549819893097</c:v>
                </c:pt>
                <c:pt idx="61">
                  <c:v>-0.18216250427210112</c:v>
                </c:pt>
                <c:pt idx="62">
                  <c:v>-8.30894028175026E-2</c:v>
                </c:pt>
                <c:pt idx="63">
                  <c:v>1.6813900484343496E-2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0-4C3A-BC94-BD148B7F20EB}"/>
            </c:ext>
          </c:extLst>
        </c:ser>
        <c:ser>
          <c:idx val="1"/>
          <c:order val="1"/>
          <c:tx>
            <c:strRef>
              <c:f>Rot!$E$10</c:f>
              <c:strCache>
                <c:ptCount val="1"/>
                <c:pt idx="0">
                  <c:v>Magnet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Rot!$C$11:$C$74</c:f>
              <c:numCache>
                <c:formatCode>General</c:formatCode>
                <c:ptCount val="6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</c:numCache>
            </c:numRef>
          </c:xVal>
          <c:yVal>
            <c:numRef>
              <c:f>Rot!$E$11:$E$74</c:f>
              <c:numCache>
                <c:formatCode>0.000</c:formatCode>
                <c:ptCount val="64"/>
                <c:pt idx="0">
                  <c:v>0</c:v>
                </c:pt>
                <c:pt idx="1">
                  <c:v>0.10013635188783612</c:v>
                </c:pt>
                <c:pt idx="2">
                  <c:v>0.21777315760308849</c:v>
                </c:pt>
                <c:pt idx="3">
                  <c:v>0.34429146548449913</c:v>
                </c:pt>
                <c:pt idx="4">
                  <c:v>0.4714546309256149</c:v>
                </c:pt>
                <c:pt idx="5">
                  <c:v>0.59202188504875009</c:v>
                </c:pt>
                <c:pt idx="6">
                  <c:v>0.70023094588541146</c:v>
                </c:pt>
                <c:pt idx="7">
                  <c:v>0.79211310738713459</c:v>
                </c:pt>
                <c:pt idx="8">
                  <c:v>0.86562061925984812</c:v>
                </c:pt>
                <c:pt idx="9">
                  <c:v>0.92056403423078292</c:v>
                </c:pt>
                <c:pt idx="10">
                  <c:v>0.95837490951737547</c:v>
                </c:pt>
                <c:pt idx="11">
                  <c:v>0.98172519466987596</c:v>
                </c:pt>
                <c:pt idx="12">
                  <c:v>0.99404738050154895</c:v>
                </c:pt>
                <c:pt idx="13">
                  <c:v>0.99900788761072967</c:v>
                </c:pt>
                <c:pt idx="14">
                  <c:v>0.99998950572764267</c:v>
                </c:pt>
                <c:pt idx="15">
                  <c:v>0.99963669274026479</c:v>
                </c:pt>
                <c:pt idx="16">
                  <c:v>0.99951043123097461</c:v>
                </c:pt>
                <c:pt idx="17">
                  <c:v>0.99988781553470685</c:v>
                </c:pt>
                <c:pt idx="18">
                  <c:v>0.99972670249133644</c:v>
                </c:pt>
                <c:pt idx="19">
                  <c:v>0.99679900601365468</c:v>
                </c:pt>
                <c:pt idx="20">
                  <c:v>0.98797912589649262</c:v>
                </c:pt>
                <c:pt idx="21">
                  <c:v>0.96965818226408795</c:v>
                </c:pt>
                <c:pt idx="22">
                  <c:v>0.93824166995113911</c:v>
                </c:pt>
                <c:pt idx="23">
                  <c:v>0.89067909081827623</c:v>
                </c:pt>
                <c:pt idx="24">
                  <c:v>0.82496993945867836</c:v>
                </c:pt>
                <c:pt idx="25">
                  <c:v>0.74059153543892631</c:v>
                </c:pt>
                <c:pt idx="26">
                  <c:v>0.63880055294565075</c:v>
                </c:pt>
                <c:pt idx="27">
                  <c:v>0.52277115341968083</c:v>
                </c:pt>
                <c:pt idx="28">
                  <c:v>0.39754740003754779</c:v>
                </c:pt>
                <c:pt idx="29">
                  <c:v>0.26980479801667157</c:v>
                </c:pt>
                <c:pt idx="30">
                  <c:v>0.14743380542456808</c:v>
                </c:pt>
                <c:pt idx="31">
                  <c:v>3.8975349621958068E-2</c:v>
                </c:pt>
                <c:pt idx="32">
                  <c:v>-5.5870076048348531E-2</c:v>
                </c:pt>
                <c:pt idx="33">
                  <c:v>-0.16727328819460141</c:v>
                </c:pt>
                <c:pt idx="34">
                  <c:v>-0.29113501242415435</c:v>
                </c:pt>
                <c:pt idx="35">
                  <c:v>-0.41897916377769318</c:v>
                </c:pt>
                <c:pt idx="36">
                  <c:v>-0.54308363955079553</c:v>
                </c:pt>
                <c:pt idx="37">
                  <c:v>-0.65702269073448449</c:v>
                </c:pt>
                <c:pt idx="38">
                  <c:v>-0.7560551301921542</c:v>
                </c:pt>
                <c:pt idx="39">
                  <c:v>-0.83733110674807854</c:v>
                </c:pt>
                <c:pt idx="40">
                  <c:v>-0.89990761549508891</c:v>
                </c:pt>
                <c:pt idx="41">
                  <c:v>-0.94458088933625173</c:v>
                </c:pt>
                <c:pt idx="42">
                  <c:v>-0.97356068396157902</c:v>
                </c:pt>
                <c:pt idx="43">
                  <c:v>-0.99002570110902699</c:v>
                </c:pt>
                <c:pt idx="44">
                  <c:v>-0.99760971734539217</c:v>
                </c:pt>
                <c:pt idx="45">
                  <c:v>-0.99987348742694049</c:v>
                </c:pt>
                <c:pt idx="46">
                  <c:v>-0.99981770853032892</c:v>
                </c:pt>
                <c:pt idx="47">
                  <c:v>-0.99948728687607191</c:v>
                </c:pt>
                <c:pt idx="48">
                  <c:v>-0.99970734702722452</c:v>
                </c:pt>
                <c:pt idx="49">
                  <c:v>-0.99997780755021737</c:v>
                </c:pt>
                <c:pt idx="50">
                  <c:v>-0.99853720479337615</c:v>
                </c:pt>
                <c:pt idx="51">
                  <c:v>-0.99258930002566081</c:v>
                </c:pt>
                <c:pt idx="52">
                  <c:v>-0.97866946658381904</c:v>
                </c:pt>
                <c:pt idx="53">
                  <c:v>-0.95311347998346774</c:v>
                </c:pt>
                <c:pt idx="54">
                  <c:v>-0.91258048436887496</c:v>
                </c:pt>
                <c:pt idx="55">
                  <c:v>-0.8545756202306275</c:v>
                </c:pt>
                <c:pt idx="56">
                  <c:v>-0.77791669050648671</c:v>
                </c:pt>
                <c:pt idx="57">
                  <c:v>-0.68309345932764476</c:v>
                </c:pt>
                <c:pt idx="58">
                  <c:v>-0.57247737424044742</c:v>
                </c:pt>
                <c:pt idx="59">
                  <c:v>-0.45035287293756571</c:v>
                </c:pt>
                <c:pt idx="60">
                  <c:v>-0.32275778469407185</c:v>
                </c:pt>
                <c:pt idx="61">
                  <c:v>-0.1971381879823686</c:v>
                </c:pt>
                <c:pt idx="62">
                  <c:v>-8.1840812709118957E-2</c:v>
                </c:pt>
                <c:pt idx="63">
                  <c:v>1.5249974196590264E-2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C0-4C3A-BC94-BD148B7F2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6826783"/>
        <c:axId val="686828863"/>
      </c:scatterChart>
      <c:valAx>
        <c:axId val="686826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686828863"/>
        <c:crosses val="autoZero"/>
        <c:crossBetween val="midCat"/>
      </c:valAx>
      <c:valAx>
        <c:axId val="686828863"/>
        <c:scaling>
          <c:orientation val="minMax"/>
          <c:max val="1.2"/>
          <c:min val="-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686826783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1</xdr:colOff>
      <xdr:row>20</xdr:row>
      <xdr:rowOff>171449</xdr:rowOff>
    </xdr:from>
    <xdr:to>
      <xdr:col>41</xdr:col>
      <xdr:colOff>189199</xdr:colOff>
      <xdr:row>35</xdr:row>
      <xdr:rowOff>171450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1" y="4190999"/>
          <a:ext cx="3008598" cy="2952751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20</xdr:row>
      <xdr:rowOff>110490</xdr:rowOff>
    </xdr:from>
    <xdr:to>
      <xdr:col>26</xdr:col>
      <xdr:colOff>278129</xdr:colOff>
      <xdr:row>34</xdr:row>
      <xdr:rowOff>156210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165734</xdr:colOff>
      <xdr:row>37</xdr:row>
      <xdr:rowOff>152401</xdr:rowOff>
    </xdr:from>
    <xdr:to>
      <xdr:col>31</xdr:col>
      <xdr:colOff>104775</xdr:colOff>
      <xdr:row>63</xdr:row>
      <xdr:rowOff>7621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63</xdr:col>
      <xdr:colOff>171449</xdr:colOff>
      <xdr:row>8</xdr:row>
      <xdr:rowOff>119060</xdr:rowOff>
    </xdr:from>
    <xdr:to>
      <xdr:col>78</xdr:col>
      <xdr:colOff>600075</xdr:colOff>
      <xdr:row>35</xdr:row>
      <xdr:rowOff>161924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552450</xdr:colOff>
      <xdr:row>2</xdr:row>
      <xdr:rowOff>104774</xdr:rowOff>
    </xdr:from>
    <xdr:to>
      <xdr:col>40</xdr:col>
      <xdr:colOff>304800</xdr:colOff>
      <xdr:row>26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80961</xdr:colOff>
      <xdr:row>28</xdr:row>
      <xdr:rowOff>180975</xdr:rowOff>
    </xdr:from>
    <xdr:to>
      <xdr:col>37</xdr:col>
      <xdr:colOff>514350</xdr:colOff>
      <xdr:row>55</xdr:row>
      <xdr:rowOff>19051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100012</xdr:colOff>
      <xdr:row>59</xdr:row>
      <xdr:rowOff>28575</xdr:rowOff>
    </xdr:from>
    <xdr:to>
      <xdr:col>37</xdr:col>
      <xdr:colOff>57150</xdr:colOff>
      <xdr:row>91</xdr:row>
      <xdr:rowOff>180975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447675</xdr:colOff>
      <xdr:row>10</xdr:row>
      <xdr:rowOff>0</xdr:rowOff>
    </xdr:from>
    <xdr:to>
      <xdr:col>14</xdr:col>
      <xdr:colOff>142875</xdr:colOff>
      <xdr:row>28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R37"/>
  <sheetViews>
    <sheetView tabSelected="1" workbookViewId="0">
      <selection activeCell="D7" sqref="D7"/>
    </sheetView>
  </sheetViews>
  <sheetFormatPr defaultRowHeight="15" x14ac:dyDescent="0.25"/>
  <cols>
    <col min="1" max="1" width="3.5703125" customWidth="1"/>
    <col min="2" max="34" width="4.7109375" customWidth="1"/>
    <col min="35" max="35" width="4.5703125" customWidth="1"/>
    <col min="36" max="55" width="4.7109375" customWidth="1"/>
    <col min="56" max="56" width="22.140625" customWidth="1"/>
    <col min="57" max="57" width="5.7109375" customWidth="1"/>
    <col min="58" max="58" width="7.140625" customWidth="1"/>
    <col min="59" max="97" width="4.7109375" customWidth="1"/>
  </cols>
  <sheetData>
    <row r="1" spans="2:88" x14ac:dyDescent="0.25">
      <c r="C1" t="s">
        <v>89</v>
      </c>
    </row>
    <row r="2" spans="2:88" ht="23.25" x14ac:dyDescent="0.35">
      <c r="D2" s="46" t="s">
        <v>92</v>
      </c>
      <c r="AC2" s="46" t="s">
        <v>90</v>
      </c>
    </row>
    <row r="3" spans="2:88" x14ac:dyDescent="0.25">
      <c r="AE3" t="s">
        <v>62</v>
      </c>
    </row>
    <row r="4" spans="2:88" ht="18" x14ac:dyDescent="0.35">
      <c r="C4" s="15" t="s">
        <v>0</v>
      </c>
      <c r="D4" s="14">
        <v>4</v>
      </c>
      <c r="E4" t="s">
        <v>2</v>
      </c>
      <c r="H4" s="15" t="s">
        <v>7</v>
      </c>
      <c r="I4" s="16">
        <v>0.3</v>
      </c>
      <c r="J4" t="s">
        <v>5</v>
      </c>
      <c r="M4" s="15" t="s">
        <v>10</v>
      </c>
      <c r="N4" s="18">
        <v>2</v>
      </c>
      <c r="O4" t="s">
        <v>11</v>
      </c>
      <c r="R4" s="15" t="s">
        <v>63</v>
      </c>
      <c r="S4" s="26">
        <f>D4/2*D6/60</f>
        <v>8</v>
      </c>
      <c r="T4" t="s">
        <v>36</v>
      </c>
      <c r="W4" s="58" t="s">
        <v>87</v>
      </c>
      <c r="X4" s="59">
        <f>Lind!S5/0.8*Lind!N6</f>
        <v>0.82499999999999996</v>
      </c>
      <c r="Y4" s="60" t="s">
        <v>4</v>
      </c>
      <c r="AE4" s="14" t="s">
        <v>61</v>
      </c>
      <c r="AF4" s="14"/>
    </row>
    <row r="5" spans="2:88" ht="18" x14ac:dyDescent="0.35">
      <c r="C5" s="15" t="s">
        <v>13</v>
      </c>
      <c r="D5" s="14">
        <v>5</v>
      </c>
      <c r="E5" t="s">
        <v>14</v>
      </c>
      <c r="H5" s="15" t="s">
        <v>6</v>
      </c>
      <c r="I5" s="16">
        <v>0.5</v>
      </c>
      <c r="J5" t="s">
        <v>5</v>
      </c>
      <c r="M5" s="15" t="s">
        <v>12</v>
      </c>
      <c r="N5" s="18">
        <v>5</v>
      </c>
      <c r="O5" t="s">
        <v>11</v>
      </c>
      <c r="Q5" t="s">
        <v>25</v>
      </c>
      <c r="R5" s="15" t="s">
        <v>22</v>
      </c>
      <c r="S5" s="18">
        <v>1.32</v>
      </c>
      <c r="T5" t="s">
        <v>4</v>
      </c>
      <c r="W5" s="15" t="s">
        <v>26</v>
      </c>
      <c r="X5" s="26">
        <v>0.82499999999999996</v>
      </c>
      <c r="Y5" t="s">
        <v>4</v>
      </c>
      <c r="AE5" s="18" t="s">
        <v>60</v>
      </c>
      <c r="AF5" s="18"/>
    </row>
    <row r="6" spans="2:88" x14ac:dyDescent="0.25">
      <c r="C6" s="15" t="s">
        <v>27</v>
      </c>
      <c r="D6" s="14">
        <v>240</v>
      </c>
      <c r="E6" t="s">
        <v>28</v>
      </c>
      <c r="H6" s="15" t="s">
        <v>9</v>
      </c>
      <c r="I6" s="17">
        <v>0.5</v>
      </c>
      <c r="J6" t="s">
        <v>3</v>
      </c>
      <c r="M6" s="15" t="s">
        <v>8</v>
      </c>
      <c r="N6" s="17">
        <v>0.5</v>
      </c>
      <c r="O6" t="s">
        <v>3</v>
      </c>
      <c r="Q6" t="s">
        <v>25</v>
      </c>
      <c r="R6" s="15" t="s">
        <v>23</v>
      </c>
      <c r="S6" s="18">
        <v>1.0349999999999999</v>
      </c>
      <c r="T6" t="s">
        <v>24</v>
      </c>
      <c r="AE6" s="26" t="s">
        <v>58</v>
      </c>
      <c r="AF6" s="26"/>
      <c r="BF6" s="71" t="s">
        <v>64</v>
      </c>
      <c r="BG6" s="71"/>
      <c r="BH6" s="71"/>
      <c r="BI6" s="71"/>
      <c r="BJ6" s="71"/>
      <c r="BK6" s="71"/>
    </row>
    <row r="7" spans="2:88" x14ac:dyDescent="0.25">
      <c r="C7" t="s">
        <v>19</v>
      </c>
      <c r="D7" s="14">
        <v>38</v>
      </c>
      <c r="E7" t="s">
        <v>14</v>
      </c>
      <c r="R7" t="s">
        <v>47</v>
      </c>
      <c r="S7" s="13">
        <v>0.03</v>
      </c>
      <c r="BF7" s="71"/>
      <c r="BG7" s="71"/>
      <c r="BH7" s="71"/>
      <c r="BI7" s="71"/>
      <c r="BJ7" s="71"/>
      <c r="BK7" s="71"/>
    </row>
    <row r="8" spans="2:88" x14ac:dyDescent="0.25">
      <c r="H8" s="15"/>
      <c r="BF8" s="71"/>
      <c r="BG8" s="71"/>
      <c r="BH8" s="71"/>
      <c r="BI8" s="71"/>
      <c r="BJ8" s="71"/>
      <c r="BK8" s="71"/>
    </row>
    <row r="9" spans="2:88" ht="15.75" thickBot="1" x14ac:dyDescent="0.3">
      <c r="B9" s="56"/>
      <c r="C9" s="57" t="s">
        <v>15</v>
      </c>
      <c r="D9" s="61">
        <v>1</v>
      </c>
      <c r="E9" s="62">
        <v>2</v>
      </c>
      <c r="F9" s="62">
        <v>3</v>
      </c>
      <c r="G9" s="62">
        <v>4</v>
      </c>
      <c r="H9" s="62">
        <v>5</v>
      </c>
      <c r="I9" s="62">
        <v>6</v>
      </c>
      <c r="J9" s="62">
        <v>7</v>
      </c>
      <c r="K9" s="62">
        <v>8</v>
      </c>
      <c r="L9" s="62">
        <v>9</v>
      </c>
      <c r="M9" s="62">
        <v>10</v>
      </c>
      <c r="N9" s="62">
        <v>11</v>
      </c>
      <c r="O9" s="62">
        <v>12</v>
      </c>
      <c r="P9" s="62">
        <v>13</v>
      </c>
      <c r="Q9" s="62">
        <v>14</v>
      </c>
      <c r="R9" s="63">
        <v>15</v>
      </c>
      <c r="S9" s="61">
        <v>16</v>
      </c>
      <c r="T9" s="62">
        <v>17</v>
      </c>
      <c r="U9" s="62">
        <v>18</v>
      </c>
      <c r="V9" s="62">
        <v>19</v>
      </c>
      <c r="W9" s="62">
        <v>20</v>
      </c>
      <c r="X9" s="62">
        <v>21</v>
      </c>
      <c r="Y9" s="62">
        <v>22</v>
      </c>
      <c r="Z9" s="62">
        <v>23</v>
      </c>
      <c r="AA9" s="62">
        <v>24</v>
      </c>
      <c r="AB9" s="62">
        <v>25</v>
      </c>
      <c r="AC9" s="64">
        <v>26</v>
      </c>
      <c r="AD9" s="61">
        <v>27</v>
      </c>
      <c r="AE9" s="62">
        <v>28</v>
      </c>
      <c r="AF9" s="62">
        <v>29</v>
      </c>
      <c r="AG9" s="64">
        <v>30</v>
      </c>
      <c r="AH9" s="61">
        <v>31</v>
      </c>
      <c r="AI9" s="62">
        <v>32</v>
      </c>
      <c r="AJ9" s="62">
        <v>33</v>
      </c>
      <c r="AK9" s="64">
        <v>34</v>
      </c>
      <c r="AL9" s="61">
        <v>35</v>
      </c>
      <c r="AM9" s="62">
        <v>36</v>
      </c>
      <c r="AN9" s="62">
        <v>37</v>
      </c>
      <c r="AO9" s="62">
        <v>38</v>
      </c>
      <c r="AP9" s="62">
        <v>39</v>
      </c>
      <c r="AQ9" s="64">
        <v>40</v>
      </c>
      <c r="AR9" s="61">
        <v>41</v>
      </c>
      <c r="AS9" s="62">
        <v>42</v>
      </c>
      <c r="AT9" s="62">
        <v>43</v>
      </c>
      <c r="AU9" s="64">
        <v>44</v>
      </c>
      <c r="AV9" s="61">
        <v>45</v>
      </c>
      <c r="AW9" s="62">
        <v>46</v>
      </c>
      <c r="AX9" s="62">
        <v>47</v>
      </c>
      <c r="AY9" s="62">
        <v>48</v>
      </c>
      <c r="AZ9" s="68"/>
      <c r="BF9" s="72" t="s">
        <v>65</v>
      </c>
      <c r="BG9" s="73"/>
      <c r="BH9" s="20">
        <v>2</v>
      </c>
      <c r="BI9" s="20">
        <v>3</v>
      </c>
      <c r="BJ9" s="20">
        <v>4</v>
      </c>
      <c r="BK9" s="20">
        <v>5</v>
      </c>
      <c r="BL9" s="20">
        <v>6</v>
      </c>
      <c r="BM9" s="20">
        <v>7</v>
      </c>
      <c r="BN9" s="20">
        <v>8</v>
      </c>
      <c r="BO9" s="20">
        <v>9</v>
      </c>
      <c r="BP9" s="20">
        <v>10</v>
      </c>
      <c r="BQ9" s="20">
        <v>11</v>
      </c>
      <c r="BR9" s="20">
        <v>12</v>
      </c>
      <c r="BS9" s="20">
        <v>13</v>
      </c>
      <c r="BT9" s="20">
        <v>14</v>
      </c>
      <c r="BU9" s="20">
        <v>15</v>
      </c>
      <c r="BV9" s="20">
        <v>16</v>
      </c>
      <c r="BW9" s="20">
        <v>17</v>
      </c>
      <c r="BX9" s="20">
        <v>18</v>
      </c>
      <c r="BY9" s="20">
        <v>19</v>
      </c>
      <c r="BZ9" s="20">
        <v>20</v>
      </c>
      <c r="CA9" s="20">
        <v>21</v>
      </c>
      <c r="CB9" s="20">
        <v>22</v>
      </c>
      <c r="CC9" s="20">
        <v>23</v>
      </c>
      <c r="CD9" s="20">
        <v>24</v>
      </c>
      <c r="CE9" s="20">
        <v>25</v>
      </c>
      <c r="CF9" s="20">
        <v>26</v>
      </c>
      <c r="CG9" s="20">
        <v>27</v>
      </c>
      <c r="CH9" s="20">
        <v>28</v>
      </c>
      <c r="CI9" s="20">
        <v>29</v>
      </c>
      <c r="CJ9" s="21">
        <v>30</v>
      </c>
    </row>
    <row r="10" spans="2:88" ht="15.75" thickTop="1" x14ac:dyDescent="0.25">
      <c r="B10" s="56"/>
      <c r="C10" s="22">
        <v>1</v>
      </c>
      <c r="D10" s="50">
        <v>1</v>
      </c>
      <c r="E10" s="51">
        <v>1</v>
      </c>
      <c r="F10" s="51">
        <v>1</v>
      </c>
      <c r="G10" s="51">
        <v>-3</v>
      </c>
      <c r="H10" s="51">
        <v>-3</v>
      </c>
      <c r="I10" s="51">
        <v>2</v>
      </c>
      <c r="J10" s="51">
        <v>2</v>
      </c>
      <c r="K10" s="51">
        <v>2</v>
      </c>
      <c r="L10" s="51">
        <v>-1</v>
      </c>
      <c r="M10" s="51">
        <v>-1</v>
      </c>
      <c r="N10" s="51">
        <v>3</v>
      </c>
      <c r="O10" s="51">
        <v>3</v>
      </c>
      <c r="P10" s="51">
        <v>3</v>
      </c>
      <c r="Q10" s="51">
        <v>-2</v>
      </c>
      <c r="R10" s="51">
        <v>-2</v>
      </c>
      <c r="S10" s="51">
        <v>1</v>
      </c>
      <c r="T10" s="51">
        <v>1</v>
      </c>
      <c r="U10" s="51">
        <v>1</v>
      </c>
      <c r="V10" s="51">
        <v>-3</v>
      </c>
      <c r="W10" s="51">
        <v>-3</v>
      </c>
      <c r="X10" s="51">
        <v>5</v>
      </c>
      <c r="Y10" s="51">
        <v>5</v>
      </c>
      <c r="Z10" s="51">
        <v>2</v>
      </c>
      <c r="AA10" s="51">
        <v>-1</v>
      </c>
      <c r="AB10" s="51">
        <v>-1</v>
      </c>
      <c r="AC10" s="51">
        <v>3</v>
      </c>
      <c r="AD10" s="51">
        <v>3</v>
      </c>
      <c r="AE10" s="51">
        <v>3</v>
      </c>
      <c r="AF10" s="51">
        <v>-5</v>
      </c>
      <c r="AG10" s="51">
        <v>-2</v>
      </c>
      <c r="AH10" s="51">
        <v>3</v>
      </c>
      <c r="AI10" s="51">
        <v>3</v>
      </c>
      <c r="AJ10" s="51">
        <v>4</v>
      </c>
      <c r="AK10" s="51">
        <v>-2</v>
      </c>
      <c r="AL10" s="51">
        <v>-2</v>
      </c>
      <c r="AM10" s="51">
        <v>1</v>
      </c>
      <c r="AN10" s="51">
        <v>-4</v>
      </c>
      <c r="AO10" s="51">
        <v>1</v>
      </c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6"/>
      <c r="BE10" s="14">
        <v>4</v>
      </c>
      <c r="BF10" s="22">
        <v>1</v>
      </c>
      <c r="BG10" s="3">
        <v>1</v>
      </c>
      <c r="BH10" s="4">
        <v>1</v>
      </c>
      <c r="BI10" s="4">
        <v>1</v>
      </c>
      <c r="BJ10" s="4">
        <v>-3</v>
      </c>
      <c r="BK10" s="4">
        <v>-3</v>
      </c>
      <c r="BL10" s="4">
        <v>2</v>
      </c>
      <c r="BM10" s="4">
        <v>2</v>
      </c>
      <c r="BN10" s="30">
        <v>2</v>
      </c>
      <c r="BO10" s="4">
        <v>-1</v>
      </c>
      <c r="BP10" s="4">
        <v>-1</v>
      </c>
      <c r="BQ10" s="4">
        <v>3</v>
      </c>
      <c r="BR10" s="4">
        <v>3</v>
      </c>
      <c r="BS10" s="4">
        <v>3</v>
      </c>
      <c r="BT10" s="4">
        <v>-2</v>
      </c>
      <c r="BU10" s="4">
        <v>-2</v>
      </c>
      <c r="BV10" s="40">
        <v>1</v>
      </c>
      <c r="BW10" s="4">
        <v>1</v>
      </c>
      <c r="BX10" s="4">
        <v>1</v>
      </c>
      <c r="BY10" s="4">
        <v>-3</v>
      </c>
      <c r="BZ10" s="4">
        <v>-3</v>
      </c>
      <c r="CA10" s="4">
        <v>2</v>
      </c>
      <c r="CB10" s="4">
        <v>2</v>
      </c>
      <c r="CC10" s="4">
        <v>2</v>
      </c>
      <c r="CD10" s="4">
        <v>-1</v>
      </c>
      <c r="CE10" s="4">
        <v>-1</v>
      </c>
      <c r="CF10" s="4">
        <v>3</v>
      </c>
      <c r="CG10" s="4">
        <v>3</v>
      </c>
      <c r="CH10" s="4">
        <v>3</v>
      </c>
      <c r="CI10" s="4">
        <v>-2</v>
      </c>
      <c r="CJ10" s="31">
        <v>-2</v>
      </c>
    </row>
    <row r="11" spans="2:88" x14ac:dyDescent="0.25">
      <c r="B11" s="56"/>
      <c r="C11" s="22">
        <v>2</v>
      </c>
      <c r="D11" s="52">
        <v>1</v>
      </c>
      <c r="E11">
        <v>1</v>
      </c>
      <c r="F11">
        <v>1</v>
      </c>
      <c r="G11">
        <v>-3</v>
      </c>
      <c r="H11">
        <v>-3</v>
      </c>
      <c r="I11">
        <v>2</v>
      </c>
      <c r="J11">
        <v>2</v>
      </c>
      <c r="K11">
        <v>2</v>
      </c>
      <c r="L11">
        <v>-1</v>
      </c>
      <c r="M11">
        <v>-1</v>
      </c>
      <c r="N11">
        <v>3</v>
      </c>
      <c r="O11">
        <v>3</v>
      </c>
      <c r="P11">
        <v>3</v>
      </c>
      <c r="Q11">
        <v>-2</v>
      </c>
      <c r="R11">
        <v>-2</v>
      </c>
      <c r="S11">
        <v>1</v>
      </c>
      <c r="T11">
        <v>1</v>
      </c>
      <c r="U11">
        <v>1</v>
      </c>
      <c r="V11">
        <v>-3</v>
      </c>
      <c r="W11">
        <v>-3</v>
      </c>
      <c r="X11">
        <v>5</v>
      </c>
      <c r="Y11">
        <v>5</v>
      </c>
      <c r="Z11">
        <v>2</v>
      </c>
      <c r="AA11">
        <v>-1</v>
      </c>
      <c r="AB11">
        <v>-1</v>
      </c>
      <c r="AC11">
        <v>3</v>
      </c>
      <c r="AD11">
        <v>3</v>
      </c>
      <c r="AE11">
        <v>3</v>
      </c>
      <c r="AF11">
        <v>-5</v>
      </c>
      <c r="AG11">
        <v>-5</v>
      </c>
      <c r="AH11">
        <v>3</v>
      </c>
      <c r="AI11">
        <v>3</v>
      </c>
      <c r="AJ11">
        <v>4</v>
      </c>
      <c r="AK11">
        <v>-2</v>
      </c>
      <c r="AL11">
        <v>-2</v>
      </c>
      <c r="AM11">
        <v>1</v>
      </c>
      <c r="AN11">
        <v>-4</v>
      </c>
      <c r="AO11">
        <v>1</v>
      </c>
      <c r="AZ11" s="56"/>
      <c r="BE11" s="14">
        <v>3</v>
      </c>
      <c r="BF11" s="22">
        <v>2</v>
      </c>
      <c r="BG11" s="5">
        <v>1</v>
      </c>
      <c r="BH11" s="2">
        <v>1</v>
      </c>
      <c r="BI11" s="2">
        <v>1</v>
      </c>
      <c r="BJ11" s="2">
        <v>-3</v>
      </c>
      <c r="BK11" s="2">
        <v>-3</v>
      </c>
      <c r="BL11" s="2">
        <v>2</v>
      </c>
      <c r="BM11" s="2">
        <v>2</v>
      </c>
      <c r="BN11" s="2">
        <v>2</v>
      </c>
      <c r="BO11" s="2">
        <v>-1</v>
      </c>
      <c r="BP11" s="2">
        <v>-1</v>
      </c>
      <c r="BQ11" s="2">
        <v>3</v>
      </c>
      <c r="BR11" s="2">
        <v>3</v>
      </c>
      <c r="BS11" s="2">
        <v>3</v>
      </c>
      <c r="BT11" s="2">
        <v>-2</v>
      </c>
      <c r="BU11" s="2">
        <v>-2</v>
      </c>
      <c r="BV11" s="1">
        <v>1</v>
      </c>
      <c r="BW11" s="2">
        <v>1</v>
      </c>
      <c r="BX11" s="2">
        <v>1</v>
      </c>
      <c r="BY11" s="2">
        <v>-3</v>
      </c>
      <c r="BZ11" s="2">
        <v>-3</v>
      </c>
      <c r="CA11" s="2">
        <v>2</v>
      </c>
      <c r="CB11" s="2">
        <v>2</v>
      </c>
      <c r="CC11" s="2">
        <v>2</v>
      </c>
      <c r="CD11" s="2">
        <v>-1</v>
      </c>
      <c r="CE11" s="2">
        <v>-1</v>
      </c>
      <c r="CF11" s="2">
        <v>3</v>
      </c>
      <c r="CG11" s="2">
        <v>3</v>
      </c>
      <c r="CH11" s="2">
        <v>3</v>
      </c>
      <c r="CI11" s="2">
        <v>-2</v>
      </c>
      <c r="CJ11" s="32">
        <v>-2</v>
      </c>
    </row>
    <row r="12" spans="2:88" x14ac:dyDescent="0.25">
      <c r="B12" s="56"/>
      <c r="C12" s="22">
        <v>3</v>
      </c>
      <c r="D12" s="53">
        <v>1</v>
      </c>
      <c r="E12" s="36">
        <v>1</v>
      </c>
      <c r="F12" s="36">
        <v>-3</v>
      </c>
      <c r="G12" s="36">
        <v>-3</v>
      </c>
      <c r="H12" s="36">
        <v>-3</v>
      </c>
      <c r="I12" s="36">
        <v>2</v>
      </c>
      <c r="J12" s="36">
        <v>2</v>
      </c>
      <c r="K12" s="36">
        <v>-1</v>
      </c>
      <c r="L12" s="36">
        <v>-1</v>
      </c>
      <c r="M12" s="36">
        <v>-1</v>
      </c>
      <c r="N12" s="36">
        <v>3</v>
      </c>
      <c r="O12" s="36">
        <v>3</v>
      </c>
      <c r="P12" s="36">
        <v>-2</v>
      </c>
      <c r="Q12" s="36">
        <v>-2</v>
      </c>
      <c r="R12" s="36">
        <v>-2</v>
      </c>
      <c r="S12" s="36">
        <v>1</v>
      </c>
      <c r="T12" s="36">
        <v>1</v>
      </c>
      <c r="U12" s="36">
        <v>-3</v>
      </c>
      <c r="V12" s="36">
        <v>-3</v>
      </c>
      <c r="W12" s="36">
        <v>-3</v>
      </c>
      <c r="X12" s="36">
        <v>5</v>
      </c>
      <c r="Y12" s="36">
        <v>5</v>
      </c>
      <c r="Z12" s="36">
        <v>-1</v>
      </c>
      <c r="AA12" s="36">
        <v>-1</v>
      </c>
      <c r="AB12" s="36">
        <v>-1</v>
      </c>
      <c r="AC12" s="36">
        <v>3</v>
      </c>
      <c r="AD12" s="36">
        <v>3</v>
      </c>
      <c r="AE12" s="36">
        <v>-2</v>
      </c>
      <c r="AF12" s="36">
        <v>-5</v>
      </c>
      <c r="AG12" s="36">
        <v>-5</v>
      </c>
      <c r="AH12" s="36">
        <v>3</v>
      </c>
      <c r="AI12" s="36">
        <v>3</v>
      </c>
      <c r="AJ12" s="36">
        <v>4</v>
      </c>
      <c r="AK12" s="36">
        <v>-2</v>
      </c>
      <c r="AL12" s="36">
        <v>-2</v>
      </c>
      <c r="AM12" s="36">
        <v>1</v>
      </c>
      <c r="AN12" s="36">
        <v>-4</v>
      </c>
      <c r="AO12" s="36">
        <v>-3</v>
      </c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56"/>
      <c r="BE12" s="14">
        <v>240</v>
      </c>
      <c r="BF12" s="22">
        <v>3</v>
      </c>
      <c r="BG12" s="7">
        <v>1</v>
      </c>
      <c r="BH12" s="8">
        <v>1</v>
      </c>
      <c r="BI12" s="8">
        <v>-3</v>
      </c>
      <c r="BJ12" s="8">
        <v>-3</v>
      </c>
      <c r="BK12" s="8">
        <v>-3</v>
      </c>
      <c r="BL12" s="8">
        <v>2</v>
      </c>
      <c r="BM12" s="8">
        <v>2</v>
      </c>
      <c r="BN12" s="8">
        <v>-1</v>
      </c>
      <c r="BO12" s="8">
        <v>-1</v>
      </c>
      <c r="BP12" s="8">
        <v>-1</v>
      </c>
      <c r="BQ12" s="8">
        <v>3</v>
      </c>
      <c r="BR12" s="8">
        <v>3</v>
      </c>
      <c r="BS12" s="8">
        <v>-2</v>
      </c>
      <c r="BT12" s="8">
        <v>-2</v>
      </c>
      <c r="BU12" s="8">
        <v>-2</v>
      </c>
      <c r="BV12" s="41">
        <v>1</v>
      </c>
      <c r="BW12" s="8">
        <v>1</v>
      </c>
      <c r="BX12" s="8">
        <v>-3</v>
      </c>
      <c r="BY12" s="8">
        <v>-3</v>
      </c>
      <c r="BZ12" s="8">
        <v>-3</v>
      </c>
      <c r="CA12" s="8">
        <v>2</v>
      </c>
      <c r="CB12" s="8">
        <v>2</v>
      </c>
      <c r="CC12" s="8">
        <v>-1</v>
      </c>
      <c r="CD12" s="8">
        <v>-1</v>
      </c>
      <c r="CE12" s="8">
        <v>-1</v>
      </c>
      <c r="CF12" s="8">
        <v>3</v>
      </c>
      <c r="CG12" s="8">
        <v>3</v>
      </c>
      <c r="CH12" s="8">
        <v>-2</v>
      </c>
      <c r="CI12" s="8">
        <v>-2</v>
      </c>
      <c r="CJ12" s="33">
        <v>-2</v>
      </c>
    </row>
    <row r="13" spans="2:88" x14ac:dyDescent="0.25">
      <c r="B13" s="56"/>
      <c r="C13" s="22">
        <v>4</v>
      </c>
      <c r="D13" s="52">
        <v>1</v>
      </c>
      <c r="E13">
        <v>1</v>
      </c>
      <c r="F13">
        <v>-3</v>
      </c>
      <c r="G13">
        <v>-3</v>
      </c>
      <c r="H13">
        <v>-3</v>
      </c>
      <c r="I13">
        <v>2</v>
      </c>
      <c r="J13">
        <v>2</v>
      </c>
      <c r="K13">
        <v>-1</v>
      </c>
      <c r="L13">
        <v>-1</v>
      </c>
      <c r="M13">
        <v>-1</v>
      </c>
      <c r="N13">
        <v>3</v>
      </c>
      <c r="O13">
        <v>3</v>
      </c>
      <c r="P13">
        <v>-2</v>
      </c>
      <c r="Q13">
        <v>-2</v>
      </c>
      <c r="R13">
        <v>-2</v>
      </c>
      <c r="S13">
        <v>1</v>
      </c>
      <c r="T13">
        <v>1</v>
      </c>
      <c r="U13">
        <v>-3</v>
      </c>
      <c r="V13">
        <v>-3</v>
      </c>
      <c r="W13">
        <v>-3</v>
      </c>
      <c r="X13">
        <v>5</v>
      </c>
      <c r="Y13">
        <v>5</v>
      </c>
      <c r="Z13">
        <v>-1</v>
      </c>
      <c r="AA13">
        <v>-1</v>
      </c>
      <c r="AB13">
        <v>-1</v>
      </c>
      <c r="AC13">
        <v>3</v>
      </c>
      <c r="AD13">
        <v>3</v>
      </c>
      <c r="AE13">
        <v>-2</v>
      </c>
      <c r="AF13">
        <v>-5</v>
      </c>
      <c r="AG13">
        <v>-5</v>
      </c>
      <c r="AH13">
        <v>3</v>
      </c>
      <c r="AI13">
        <v>3</v>
      </c>
      <c r="AJ13">
        <v>4</v>
      </c>
      <c r="AK13">
        <v>-2</v>
      </c>
      <c r="AL13">
        <v>-2</v>
      </c>
      <c r="AM13">
        <v>1</v>
      </c>
      <c r="AN13">
        <v>-4</v>
      </c>
      <c r="AO13">
        <v>-3</v>
      </c>
      <c r="AZ13" s="56"/>
      <c r="BE13" s="14">
        <v>30</v>
      </c>
      <c r="BF13" s="22">
        <v>4</v>
      </c>
      <c r="BG13" s="5">
        <v>1</v>
      </c>
      <c r="BH13" s="2">
        <v>1</v>
      </c>
      <c r="BI13" s="2">
        <v>-3</v>
      </c>
      <c r="BJ13" s="2">
        <v>-3</v>
      </c>
      <c r="BK13" s="2">
        <v>-3</v>
      </c>
      <c r="BL13" s="2">
        <v>2</v>
      </c>
      <c r="BM13" s="2">
        <v>2</v>
      </c>
      <c r="BN13" s="2">
        <v>-1</v>
      </c>
      <c r="BO13" s="2">
        <v>-1</v>
      </c>
      <c r="BP13" s="2">
        <v>-1</v>
      </c>
      <c r="BQ13" s="2">
        <v>3</v>
      </c>
      <c r="BR13" s="2">
        <v>3</v>
      </c>
      <c r="BS13" s="2">
        <v>-2</v>
      </c>
      <c r="BT13" s="2">
        <v>-2</v>
      </c>
      <c r="BU13" s="2">
        <v>-2</v>
      </c>
      <c r="BV13" s="1">
        <v>1</v>
      </c>
      <c r="BW13" s="2">
        <v>1</v>
      </c>
      <c r="BX13" s="2">
        <v>-3</v>
      </c>
      <c r="BY13" s="2">
        <v>-3</v>
      </c>
      <c r="BZ13" s="2">
        <v>-3</v>
      </c>
      <c r="CA13" s="2">
        <v>2</v>
      </c>
      <c r="CB13" s="2">
        <v>2</v>
      </c>
      <c r="CC13" s="2">
        <v>-1</v>
      </c>
      <c r="CD13" s="2">
        <v>-1</v>
      </c>
      <c r="CE13" s="2">
        <v>-1</v>
      </c>
      <c r="CF13" s="2">
        <v>3</v>
      </c>
      <c r="CG13" s="2">
        <v>3</v>
      </c>
      <c r="CH13" s="2">
        <v>-2</v>
      </c>
      <c r="CI13" s="2">
        <v>-2</v>
      </c>
      <c r="CJ13" s="32">
        <v>-2</v>
      </c>
    </row>
    <row r="14" spans="2:88" x14ac:dyDescent="0.25">
      <c r="B14" s="56"/>
      <c r="C14" s="22">
        <v>5</v>
      </c>
      <c r="D14" s="53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56"/>
      <c r="BF14" s="22">
        <v>5</v>
      </c>
      <c r="BG14" s="7">
        <v>1</v>
      </c>
      <c r="BH14" s="8">
        <v>1</v>
      </c>
      <c r="BI14" s="8">
        <v>1</v>
      </c>
      <c r="BJ14" s="8">
        <v>-3</v>
      </c>
      <c r="BK14" s="8">
        <v>-3</v>
      </c>
      <c r="BL14" s="8">
        <v>2</v>
      </c>
      <c r="BM14" s="8">
        <v>2</v>
      </c>
      <c r="BN14" s="8">
        <v>2</v>
      </c>
      <c r="BO14" s="8">
        <v>-1</v>
      </c>
      <c r="BP14" s="8">
        <v>-1</v>
      </c>
      <c r="BQ14" s="8">
        <v>3</v>
      </c>
      <c r="BR14" s="8">
        <v>3</v>
      </c>
      <c r="BS14" s="8">
        <v>3</v>
      </c>
      <c r="BT14" s="8">
        <v>-2</v>
      </c>
      <c r="BU14" s="8">
        <v>-2</v>
      </c>
      <c r="BV14" s="41">
        <v>1</v>
      </c>
      <c r="BW14" s="8">
        <v>1</v>
      </c>
      <c r="BX14" s="8">
        <v>1</v>
      </c>
      <c r="BY14" s="8">
        <v>-3</v>
      </c>
      <c r="BZ14" s="8">
        <v>-3</v>
      </c>
      <c r="CA14" s="8">
        <v>2</v>
      </c>
      <c r="CB14" s="8">
        <v>2</v>
      </c>
      <c r="CC14" s="8">
        <v>2</v>
      </c>
      <c r="CD14" s="8">
        <v>-1</v>
      </c>
      <c r="CE14" s="8">
        <v>-1</v>
      </c>
      <c r="CF14" s="8">
        <v>3</v>
      </c>
      <c r="CG14" s="8">
        <v>3</v>
      </c>
      <c r="CH14" s="8">
        <v>3</v>
      </c>
      <c r="CI14" s="8">
        <v>-2</v>
      </c>
      <c r="CJ14" s="9">
        <v>-2</v>
      </c>
    </row>
    <row r="15" spans="2:88" x14ac:dyDescent="0.25">
      <c r="B15" s="56"/>
      <c r="C15" s="22">
        <v>6</v>
      </c>
      <c r="D15" s="52"/>
      <c r="AZ15" s="56"/>
      <c r="BF15" s="22">
        <v>6</v>
      </c>
      <c r="BG15" s="5">
        <v>1</v>
      </c>
      <c r="BH15" s="2">
        <v>1</v>
      </c>
      <c r="BI15" s="2">
        <v>1</v>
      </c>
      <c r="BJ15" s="2">
        <v>-3</v>
      </c>
      <c r="BK15" s="2">
        <v>-3</v>
      </c>
      <c r="BL15" s="2">
        <v>2</v>
      </c>
      <c r="BM15" s="2">
        <v>2</v>
      </c>
      <c r="BN15" s="2">
        <v>2</v>
      </c>
      <c r="BO15" s="2">
        <v>-1</v>
      </c>
      <c r="BP15" s="2">
        <v>-1</v>
      </c>
      <c r="BQ15" s="2">
        <v>3</v>
      </c>
      <c r="BR15" s="2">
        <v>3</v>
      </c>
      <c r="BS15" s="2">
        <v>3</v>
      </c>
      <c r="BT15" s="2">
        <v>-2</v>
      </c>
      <c r="BU15" s="2">
        <v>-2</v>
      </c>
      <c r="BV15" s="1">
        <v>1</v>
      </c>
      <c r="BW15" s="2">
        <v>1</v>
      </c>
      <c r="BX15" s="2">
        <v>1</v>
      </c>
      <c r="BY15" s="2">
        <v>-3</v>
      </c>
      <c r="BZ15" s="2">
        <v>-3</v>
      </c>
      <c r="CA15" s="2">
        <v>2</v>
      </c>
      <c r="CB15" s="2">
        <v>2</v>
      </c>
      <c r="CC15" s="2">
        <v>2</v>
      </c>
      <c r="CD15" s="2">
        <v>-1</v>
      </c>
      <c r="CE15" s="2">
        <v>-1</v>
      </c>
      <c r="CF15" s="2">
        <v>3</v>
      </c>
      <c r="CG15" s="2">
        <v>3</v>
      </c>
      <c r="CH15" s="2">
        <v>3</v>
      </c>
      <c r="CI15" s="2">
        <v>-2</v>
      </c>
      <c r="CJ15" s="6">
        <v>-2</v>
      </c>
    </row>
    <row r="16" spans="2:88" x14ac:dyDescent="0.25">
      <c r="B16" s="56"/>
      <c r="C16" s="22">
        <v>7</v>
      </c>
      <c r="D16" s="53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56"/>
      <c r="BF16" s="22">
        <v>7</v>
      </c>
      <c r="BG16" s="7">
        <v>1</v>
      </c>
      <c r="BH16" s="8">
        <v>1</v>
      </c>
      <c r="BI16" s="8">
        <v>-3</v>
      </c>
      <c r="BJ16" s="8">
        <v>-3</v>
      </c>
      <c r="BK16" s="8">
        <v>-3</v>
      </c>
      <c r="BL16" s="8">
        <v>2</v>
      </c>
      <c r="BM16" s="8">
        <v>2</v>
      </c>
      <c r="BN16" s="8">
        <v>-1</v>
      </c>
      <c r="BO16" s="8">
        <v>-1</v>
      </c>
      <c r="BP16" s="8">
        <v>-1</v>
      </c>
      <c r="BQ16" s="8">
        <v>3</v>
      </c>
      <c r="BR16" s="8">
        <v>3</v>
      </c>
      <c r="BS16" s="8">
        <v>-2</v>
      </c>
      <c r="BT16" s="8">
        <v>-2</v>
      </c>
      <c r="BU16" s="8">
        <v>-2</v>
      </c>
      <c r="BV16" s="41">
        <v>1</v>
      </c>
      <c r="BW16" s="8">
        <v>1</v>
      </c>
      <c r="BX16" s="8">
        <v>-3</v>
      </c>
      <c r="BY16" s="8">
        <v>-3</v>
      </c>
      <c r="BZ16" s="8">
        <v>-3</v>
      </c>
      <c r="CA16" s="8">
        <v>2</v>
      </c>
      <c r="CB16" s="8">
        <v>2</v>
      </c>
      <c r="CC16" s="8">
        <v>-1</v>
      </c>
      <c r="CD16" s="8">
        <v>-1</v>
      </c>
      <c r="CE16" s="8">
        <v>-1</v>
      </c>
      <c r="CF16" s="8">
        <v>3</v>
      </c>
      <c r="CG16" s="8">
        <v>3</v>
      </c>
      <c r="CH16" s="8">
        <v>-2</v>
      </c>
      <c r="CI16" s="8">
        <v>-2</v>
      </c>
      <c r="CJ16" s="9">
        <v>-2</v>
      </c>
    </row>
    <row r="17" spans="2:88" ht="15.75" thickBot="1" x14ac:dyDescent="0.3">
      <c r="B17" s="56"/>
      <c r="C17" s="22">
        <v>8</v>
      </c>
      <c r="D17" s="54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56"/>
      <c r="BF17" s="22">
        <v>8</v>
      </c>
      <c r="BG17" s="10">
        <v>1</v>
      </c>
      <c r="BH17" s="11">
        <v>1</v>
      </c>
      <c r="BI17" s="11">
        <v>-3</v>
      </c>
      <c r="BJ17" s="11">
        <v>-3</v>
      </c>
      <c r="BK17" s="11">
        <v>-3</v>
      </c>
      <c r="BL17" s="11">
        <v>2</v>
      </c>
      <c r="BM17" s="11">
        <v>2</v>
      </c>
      <c r="BN17" s="11">
        <v>-1</v>
      </c>
      <c r="BO17" s="11">
        <v>-1</v>
      </c>
      <c r="BP17" s="11">
        <v>-1</v>
      </c>
      <c r="BQ17" s="11">
        <v>3</v>
      </c>
      <c r="BR17" s="11">
        <v>3</v>
      </c>
      <c r="BS17" s="11">
        <v>-2</v>
      </c>
      <c r="BT17" s="11">
        <v>-2</v>
      </c>
      <c r="BU17" s="11">
        <v>-2</v>
      </c>
      <c r="BV17" s="42">
        <v>1</v>
      </c>
      <c r="BW17" s="11">
        <v>1</v>
      </c>
      <c r="BX17" s="11">
        <v>-3</v>
      </c>
      <c r="BY17" s="11">
        <v>-3</v>
      </c>
      <c r="BZ17" s="11">
        <v>-3</v>
      </c>
      <c r="CA17" s="11">
        <v>2</v>
      </c>
      <c r="CB17" s="11">
        <v>2</v>
      </c>
      <c r="CC17" s="11">
        <v>-1</v>
      </c>
      <c r="CD17" s="11">
        <v>-1</v>
      </c>
      <c r="CE17" s="11">
        <v>-1</v>
      </c>
      <c r="CF17" s="11">
        <v>3</v>
      </c>
      <c r="CG17" s="11">
        <v>3</v>
      </c>
      <c r="CH17" s="11">
        <v>-2</v>
      </c>
      <c r="CI17" s="11">
        <v>-2</v>
      </c>
      <c r="CJ17" s="12">
        <v>-2</v>
      </c>
    </row>
    <row r="18" spans="2:88" x14ac:dyDescent="0.25"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</row>
    <row r="19" spans="2:88" x14ac:dyDescent="0.25">
      <c r="L19" s="22"/>
    </row>
    <row r="20" spans="2:88" x14ac:dyDescent="0.25">
      <c r="BF20" s="22" t="s">
        <v>66</v>
      </c>
      <c r="BH20" t="s">
        <v>67</v>
      </c>
    </row>
    <row r="21" spans="2:88" ht="15.75" thickBot="1" x14ac:dyDescent="0.3">
      <c r="BF21" s="72" t="s">
        <v>65</v>
      </c>
      <c r="BG21" s="73"/>
      <c r="BH21" s="20">
        <v>2</v>
      </c>
      <c r="BI21" s="20">
        <v>3</v>
      </c>
      <c r="BJ21" s="20">
        <v>4</v>
      </c>
      <c r="BK21" s="20">
        <v>5</v>
      </c>
      <c r="BL21" s="20">
        <v>6</v>
      </c>
      <c r="BM21" s="20">
        <v>7</v>
      </c>
      <c r="BN21" s="20">
        <v>8</v>
      </c>
      <c r="BO21" s="20">
        <v>9</v>
      </c>
      <c r="BP21" s="20">
        <v>10</v>
      </c>
      <c r="BQ21" s="20">
        <v>11</v>
      </c>
      <c r="BR21" s="20">
        <v>12</v>
      </c>
      <c r="BS21" s="20">
        <v>13</v>
      </c>
      <c r="BT21" s="20">
        <v>14</v>
      </c>
      <c r="BU21" s="20">
        <v>15</v>
      </c>
      <c r="BV21" s="20">
        <v>16</v>
      </c>
      <c r="BW21" s="20">
        <v>17</v>
      </c>
      <c r="BX21" s="20">
        <v>18</v>
      </c>
      <c r="BY21" s="20">
        <v>19</v>
      </c>
      <c r="BZ21" s="20">
        <v>20</v>
      </c>
      <c r="CA21" s="20">
        <v>21</v>
      </c>
      <c r="CB21" s="20">
        <v>22</v>
      </c>
      <c r="CC21" s="20">
        <v>23</v>
      </c>
      <c r="CD21" s="20">
        <v>24</v>
      </c>
      <c r="CE21" s="20">
        <v>25</v>
      </c>
      <c r="CF21" s="20">
        <v>26</v>
      </c>
      <c r="CG21" s="20">
        <v>27</v>
      </c>
      <c r="CH21" s="20">
        <v>28</v>
      </c>
      <c r="CI21" s="20">
        <v>29</v>
      </c>
      <c r="CJ21" s="21">
        <v>30</v>
      </c>
    </row>
    <row r="22" spans="2:88" ht="19.5" thickTop="1" x14ac:dyDescent="0.3">
      <c r="C22" s="45" t="s">
        <v>59</v>
      </c>
      <c r="BE22" s="14">
        <v>10</v>
      </c>
      <c r="BF22" s="22">
        <v>1</v>
      </c>
      <c r="BG22" s="3">
        <v>1</v>
      </c>
      <c r="BH22" s="4">
        <v>-2</v>
      </c>
      <c r="BI22" s="4">
        <v>3</v>
      </c>
      <c r="BJ22" s="4">
        <v>-1</v>
      </c>
      <c r="BK22" s="4">
        <v>2</v>
      </c>
      <c r="BL22" s="4">
        <v>-3</v>
      </c>
      <c r="BM22" s="4">
        <v>1</v>
      </c>
      <c r="BN22" s="30">
        <v>-2</v>
      </c>
      <c r="BO22" s="4">
        <v>3</v>
      </c>
      <c r="BP22" s="4">
        <v>-1</v>
      </c>
      <c r="BQ22" s="4">
        <v>2</v>
      </c>
      <c r="BR22" s="4">
        <v>-3</v>
      </c>
      <c r="BS22" s="4">
        <v>1</v>
      </c>
      <c r="BT22" s="4">
        <v>-2</v>
      </c>
      <c r="BU22" s="4">
        <v>3</v>
      </c>
      <c r="BV22" s="40">
        <v>-1</v>
      </c>
      <c r="BW22" s="4">
        <v>2</v>
      </c>
      <c r="BX22" s="4">
        <v>-3</v>
      </c>
      <c r="BY22" s="4">
        <v>1</v>
      </c>
      <c r="BZ22" s="4">
        <v>-2</v>
      </c>
      <c r="CA22" s="4">
        <v>3</v>
      </c>
      <c r="CB22" s="4">
        <v>-1</v>
      </c>
      <c r="CC22" s="4">
        <v>2</v>
      </c>
      <c r="CD22" s="4">
        <v>-3</v>
      </c>
      <c r="CE22" s="4">
        <v>1</v>
      </c>
      <c r="CF22" s="4">
        <v>-2</v>
      </c>
      <c r="CG22" s="4">
        <v>3</v>
      </c>
      <c r="CH22" s="4">
        <v>-1</v>
      </c>
      <c r="CI22" s="4">
        <v>2</v>
      </c>
      <c r="CJ22" s="31">
        <v>-3</v>
      </c>
    </row>
    <row r="23" spans="2:88" x14ac:dyDescent="0.25">
      <c r="C23" s="36" t="s">
        <v>57</v>
      </c>
      <c r="D23" s="36"/>
      <c r="E23" s="36"/>
      <c r="F23" s="36"/>
      <c r="BE23" s="14">
        <v>3</v>
      </c>
      <c r="BF23" s="22">
        <v>2</v>
      </c>
      <c r="BG23" s="5">
        <v>1</v>
      </c>
      <c r="BH23" s="2">
        <v>-2</v>
      </c>
      <c r="BI23" s="2">
        <v>3</v>
      </c>
      <c r="BJ23" s="2">
        <v>-1</v>
      </c>
      <c r="BK23" s="2">
        <v>2</v>
      </c>
      <c r="BL23" s="2">
        <v>-3</v>
      </c>
      <c r="BM23" s="2">
        <v>1</v>
      </c>
      <c r="BN23" s="2">
        <v>-2</v>
      </c>
      <c r="BO23" s="2">
        <v>3</v>
      </c>
      <c r="BP23" s="2">
        <v>-1</v>
      </c>
      <c r="BQ23" s="2">
        <v>2</v>
      </c>
      <c r="BR23" s="2">
        <v>-3</v>
      </c>
      <c r="BS23" s="2">
        <v>1</v>
      </c>
      <c r="BT23" s="2">
        <v>-2</v>
      </c>
      <c r="BU23" s="2">
        <v>3</v>
      </c>
      <c r="BV23" s="1">
        <v>-1</v>
      </c>
      <c r="BW23" s="2">
        <v>2</v>
      </c>
      <c r="BX23" s="2">
        <v>-3</v>
      </c>
      <c r="BY23" s="2">
        <v>1</v>
      </c>
      <c r="BZ23" s="2">
        <v>-2</v>
      </c>
      <c r="CA23" s="2">
        <v>3</v>
      </c>
      <c r="CB23" s="2">
        <v>-1</v>
      </c>
      <c r="CC23" s="2">
        <v>2</v>
      </c>
      <c r="CD23" s="2">
        <v>-3</v>
      </c>
      <c r="CE23" s="2">
        <v>1</v>
      </c>
      <c r="CF23" s="2">
        <v>-2</v>
      </c>
      <c r="CG23" s="2">
        <v>3</v>
      </c>
      <c r="CH23" s="2">
        <v>-1</v>
      </c>
      <c r="CI23" s="2">
        <v>2</v>
      </c>
      <c r="CJ23" s="32">
        <v>-3</v>
      </c>
    </row>
    <row r="24" spans="2:88" x14ac:dyDescent="0.25">
      <c r="C24" s="36" t="s">
        <v>56</v>
      </c>
      <c r="D24" s="24" t="s">
        <v>54</v>
      </c>
      <c r="E24" s="24" t="s">
        <v>55</v>
      </c>
      <c r="F24" t="s">
        <v>86</v>
      </c>
      <c r="BE24" s="14">
        <v>120</v>
      </c>
      <c r="BF24" s="22">
        <v>3</v>
      </c>
      <c r="BG24" s="7">
        <v>1</v>
      </c>
      <c r="BH24" s="8">
        <v>-2</v>
      </c>
      <c r="BI24" s="8">
        <v>3</v>
      </c>
      <c r="BJ24" s="8">
        <v>-1</v>
      </c>
      <c r="BK24" s="8">
        <v>2</v>
      </c>
      <c r="BL24" s="8">
        <v>-3</v>
      </c>
      <c r="BM24" s="8">
        <v>1</v>
      </c>
      <c r="BN24" s="8">
        <v>-2</v>
      </c>
      <c r="BO24" s="8">
        <v>3</v>
      </c>
      <c r="BP24" s="8">
        <v>-1</v>
      </c>
      <c r="BQ24" s="8">
        <v>2</v>
      </c>
      <c r="BR24" s="8">
        <v>-3</v>
      </c>
      <c r="BS24" s="8">
        <v>1</v>
      </c>
      <c r="BT24" s="8">
        <v>-2</v>
      </c>
      <c r="BU24" s="8">
        <v>3</v>
      </c>
      <c r="BV24" s="41">
        <v>-1</v>
      </c>
      <c r="BW24" s="8">
        <v>2</v>
      </c>
      <c r="BX24" s="8">
        <v>-3</v>
      </c>
      <c r="BY24" s="8">
        <v>1</v>
      </c>
      <c r="BZ24" s="8">
        <v>-2</v>
      </c>
      <c r="CA24" s="8">
        <v>3</v>
      </c>
      <c r="CB24" s="8">
        <v>-1</v>
      </c>
      <c r="CC24" s="8">
        <v>2</v>
      </c>
      <c r="CD24" s="8">
        <v>-3</v>
      </c>
      <c r="CE24" s="8">
        <v>1</v>
      </c>
      <c r="CF24" s="8">
        <v>-2</v>
      </c>
      <c r="CG24" s="8">
        <v>3</v>
      </c>
      <c r="CH24" s="8">
        <v>-1</v>
      </c>
      <c r="CI24" s="8">
        <v>2</v>
      </c>
      <c r="CJ24" s="33">
        <v>-3</v>
      </c>
    </row>
    <row r="25" spans="2:88" x14ac:dyDescent="0.25">
      <c r="C25" s="36">
        <v>1</v>
      </c>
      <c r="D25" s="26">
        <f>COUNTIF($D$10:$AO$17,C25)</f>
        <v>26</v>
      </c>
      <c r="E25" s="26">
        <f>COUNTIF($D$10:$AY$17,-1*C25)</f>
        <v>20</v>
      </c>
      <c r="BE25" s="14">
        <v>30</v>
      </c>
      <c r="BF25" s="22">
        <v>4</v>
      </c>
      <c r="BG25" s="5">
        <v>1</v>
      </c>
      <c r="BH25" s="2">
        <v>-2</v>
      </c>
      <c r="BI25" s="2">
        <v>3</v>
      </c>
      <c r="BJ25" s="2">
        <v>-1</v>
      </c>
      <c r="BK25" s="2">
        <v>2</v>
      </c>
      <c r="BL25" s="2">
        <v>-3</v>
      </c>
      <c r="BM25" s="2">
        <v>1</v>
      </c>
      <c r="BN25" s="2">
        <v>-2</v>
      </c>
      <c r="BO25" s="2">
        <v>3</v>
      </c>
      <c r="BP25" s="2">
        <v>-1</v>
      </c>
      <c r="BQ25" s="2">
        <v>2</v>
      </c>
      <c r="BR25" s="2">
        <v>-3</v>
      </c>
      <c r="BS25" s="2">
        <v>1</v>
      </c>
      <c r="BT25" s="2">
        <v>-2</v>
      </c>
      <c r="BU25" s="2">
        <v>3</v>
      </c>
      <c r="BV25" s="1">
        <v>-1</v>
      </c>
      <c r="BW25" s="2">
        <v>2</v>
      </c>
      <c r="BX25" s="2">
        <v>-3</v>
      </c>
      <c r="BY25" s="2">
        <v>1</v>
      </c>
      <c r="BZ25" s="2">
        <v>-2</v>
      </c>
      <c r="CA25" s="2">
        <v>3</v>
      </c>
      <c r="CB25" s="2">
        <v>-1</v>
      </c>
      <c r="CC25" s="2">
        <v>2</v>
      </c>
      <c r="CD25" s="2">
        <v>-3</v>
      </c>
      <c r="CE25" s="2">
        <v>1</v>
      </c>
      <c r="CF25" s="2">
        <v>-2</v>
      </c>
      <c r="CG25" s="2">
        <v>3</v>
      </c>
      <c r="CH25" s="2">
        <v>-1</v>
      </c>
      <c r="CI25" s="2">
        <v>2</v>
      </c>
      <c r="CJ25" s="32">
        <v>-3</v>
      </c>
    </row>
    <row r="26" spans="2:88" x14ac:dyDescent="0.25">
      <c r="C26" s="36">
        <v>2</v>
      </c>
      <c r="D26" s="26">
        <f t="shared" ref="D26:D32" si="0">COUNTIF($D$10:$AO$17,C26)</f>
        <v>12</v>
      </c>
      <c r="E26" s="26">
        <f>COUNTIF($D$10:$AY$17,-1*C26)</f>
        <v>21</v>
      </c>
      <c r="BF26" s="22">
        <v>5</v>
      </c>
      <c r="BG26" s="7">
        <v>1</v>
      </c>
      <c r="BH26" s="8">
        <v>-2</v>
      </c>
      <c r="BI26" s="8">
        <v>3</v>
      </c>
      <c r="BJ26" s="8">
        <v>-1</v>
      </c>
      <c r="BK26" s="8">
        <v>2</v>
      </c>
      <c r="BL26" s="8">
        <v>-3</v>
      </c>
      <c r="BM26" s="8">
        <v>1</v>
      </c>
      <c r="BN26" s="8">
        <v>-2</v>
      </c>
      <c r="BO26" s="8">
        <v>3</v>
      </c>
      <c r="BP26" s="8">
        <v>-1</v>
      </c>
      <c r="BQ26" s="8">
        <v>2</v>
      </c>
      <c r="BR26" s="8">
        <v>-3</v>
      </c>
      <c r="BS26" s="8">
        <v>1</v>
      </c>
      <c r="BT26" s="8">
        <v>-2</v>
      </c>
      <c r="BU26" s="8">
        <v>3</v>
      </c>
      <c r="BV26" s="41">
        <v>-1</v>
      </c>
      <c r="BW26" s="8">
        <v>2</v>
      </c>
      <c r="BX26" s="8">
        <v>-3</v>
      </c>
      <c r="BY26" s="8">
        <v>1</v>
      </c>
      <c r="BZ26" s="8">
        <v>-2</v>
      </c>
      <c r="CA26" s="8">
        <v>3</v>
      </c>
      <c r="CB26" s="8">
        <v>-1</v>
      </c>
      <c r="CC26" s="8">
        <v>2</v>
      </c>
      <c r="CD26" s="8">
        <v>-3</v>
      </c>
      <c r="CE26" s="8">
        <v>1</v>
      </c>
      <c r="CF26" s="8">
        <v>-2</v>
      </c>
      <c r="CG26" s="8">
        <v>3</v>
      </c>
      <c r="CH26" s="8">
        <v>-1</v>
      </c>
      <c r="CI26" s="8">
        <v>2</v>
      </c>
      <c r="CJ26" s="9">
        <v>-3</v>
      </c>
    </row>
    <row r="27" spans="2:88" x14ac:dyDescent="0.25">
      <c r="C27" s="36">
        <v>3</v>
      </c>
      <c r="D27" s="26">
        <f t="shared" si="0"/>
        <v>28</v>
      </c>
      <c r="E27" s="26">
        <f>COUNTIF($D$10:$AY$17,-1*C27)</f>
        <v>22</v>
      </c>
      <c r="BF27" s="22">
        <v>6</v>
      </c>
      <c r="BG27" s="5">
        <v>1</v>
      </c>
      <c r="BH27" s="2">
        <v>-2</v>
      </c>
      <c r="BI27" s="2">
        <v>3</v>
      </c>
      <c r="BJ27" s="2">
        <v>-1</v>
      </c>
      <c r="BK27" s="2">
        <v>2</v>
      </c>
      <c r="BL27" s="2">
        <v>-3</v>
      </c>
      <c r="BM27" s="2">
        <v>1</v>
      </c>
      <c r="BN27" s="2">
        <v>-2</v>
      </c>
      <c r="BO27" s="2">
        <v>3</v>
      </c>
      <c r="BP27" s="2">
        <v>-1</v>
      </c>
      <c r="BQ27" s="2">
        <v>2</v>
      </c>
      <c r="BR27" s="2">
        <v>-3</v>
      </c>
      <c r="BS27" s="2">
        <v>1</v>
      </c>
      <c r="BT27" s="2">
        <v>-2</v>
      </c>
      <c r="BU27" s="2">
        <v>3</v>
      </c>
      <c r="BV27" s="1">
        <v>-1</v>
      </c>
      <c r="BW27" s="2">
        <v>2</v>
      </c>
      <c r="BX27" s="2">
        <v>-3</v>
      </c>
      <c r="BY27" s="2">
        <v>1</v>
      </c>
      <c r="BZ27" s="2">
        <v>-2</v>
      </c>
      <c r="CA27" s="2">
        <v>3</v>
      </c>
      <c r="CB27" s="2">
        <v>-1</v>
      </c>
      <c r="CC27" s="2">
        <v>2</v>
      </c>
      <c r="CD27" s="2">
        <v>-3</v>
      </c>
      <c r="CE27" s="2">
        <v>1</v>
      </c>
      <c r="CF27" s="2">
        <v>-2</v>
      </c>
      <c r="CG27" s="2">
        <v>3</v>
      </c>
      <c r="CH27" s="2">
        <v>-1</v>
      </c>
      <c r="CI27" s="2">
        <v>2</v>
      </c>
      <c r="CJ27" s="6">
        <v>-3</v>
      </c>
    </row>
    <row r="28" spans="2:88" x14ac:dyDescent="0.25">
      <c r="C28" s="36">
        <v>4</v>
      </c>
      <c r="D28" s="26">
        <f t="shared" si="0"/>
        <v>4</v>
      </c>
      <c r="E28" s="26">
        <f t="shared" ref="E28" si="1">COUNTIF($D$10:$AO$17,-1*C28)</f>
        <v>4</v>
      </c>
      <c r="BF28" s="22">
        <v>7</v>
      </c>
      <c r="BG28" s="7">
        <v>1</v>
      </c>
      <c r="BH28" s="8">
        <v>-2</v>
      </c>
      <c r="BI28" s="8">
        <v>3</v>
      </c>
      <c r="BJ28" s="8">
        <v>-1</v>
      </c>
      <c r="BK28" s="8">
        <v>2</v>
      </c>
      <c r="BL28" s="8">
        <v>-3</v>
      </c>
      <c r="BM28" s="8">
        <v>1</v>
      </c>
      <c r="BN28" s="8">
        <v>-2</v>
      </c>
      <c r="BO28" s="8">
        <v>3</v>
      </c>
      <c r="BP28" s="8">
        <v>-1</v>
      </c>
      <c r="BQ28" s="8">
        <v>2</v>
      </c>
      <c r="BR28" s="8">
        <v>-3</v>
      </c>
      <c r="BS28" s="8">
        <v>1</v>
      </c>
      <c r="BT28" s="8">
        <v>-2</v>
      </c>
      <c r="BU28" s="8">
        <v>3</v>
      </c>
      <c r="BV28" s="41">
        <v>-1</v>
      </c>
      <c r="BW28" s="8">
        <v>2</v>
      </c>
      <c r="BX28" s="8">
        <v>-3</v>
      </c>
      <c r="BY28" s="8">
        <v>1</v>
      </c>
      <c r="BZ28" s="8">
        <v>-2</v>
      </c>
      <c r="CA28" s="8">
        <v>3</v>
      </c>
      <c r="CB28" s="8">
        <v>-1</v>
      </c>
      <c r="CC28" s="8">
        <v>2</v>
      </c>
      <c r="CD28" s="8">
        <v>-3</v>
      </c>
      <c r="CE28" s="8">
        <v>1</v>
      </c>
      <c r="CF28" s="8">
        <v>-2</v>
      </c>
      <c r="CG28" s="8">
        <v>3</v>
      </c>
      <c r="CH28" s="8">
        <v>-1</v>
      </c>
      <c r="CI28" s="8">
        <v>2</v>
      </c>
      <c r="CJ28" s="9">
        <v>-3</v>
      </c>
    </row>
    <row r="29" spans="2:88" ht="15.75" thickBot="1" x14ac:dyDescent="0.3">
      <c r="C29" s="36">
        <v>5</v>
      </c>
      <c r="D29" s="26">
        <f t="shared" si="0"/>
        <v>8</v>
      </c>
      <c r="E29" s="26">
        <f>COUNTIF($D$10:$AY$17,-1*C29)</f>
        <v>7</v>
      </c>
      <c r="BF29" s="22">
        <v>8</v>
      </c>
      <c r="BG29" s="10">
        <v>1</v>
      </c>
      <c r="BH29" s="11">
        <v>-2</v>
      </c>
      <c r="BI29" s="11">
        <v>3</v>
      </c>
      <c r="BJ29" s="11">
        <v>-1</v>
      </c>
      <c r="BK29" s="11">
        <v>2</v>
      </c>
      <c r="BL29" s="11">
        <v>-3</v>
      </c>
      <c r="BM29" s="11">
        <v>1</v>
      </c>
      <c r="BN29" s="11">
        <v>-2</v>
      </c>
      <c r="BO29" s="11">
        <v>3</v>
      </c>
      <c r="BP29" s="11">
        <v>-1</v>
      </c>
      <c r="BQ29" s="11">
        <v>2</v>
      </c>
      <c r="BR29" s="11">
        <v>-3</v>
      </c>
      <c r="BS29" s="11">
        <v>1</v>
      </c>
      <c r="BT29" s="11">
        <v>-2</v>
      </c>
      <c r="BU29" s="11">
        <v>3</v>
      </c>
      <c r="BV29" s="42">
        <v>-1</v>
      </c>
      <c r="BW29" s="11">
        <v>2</v>
      </c>
      <c r="BX29" s="11">
        <v>-3</v>
      </c>
      <c r="BY29" s="11">
        <v>1</v>
      </c>
      <c r="BZ29" s="11">
        <v>-2</v>
      </c>
      <c r="CA29" s="11">
        <v>3</v>
      </c>
      <c r="CB29" s="11">
        <v>-1</v>
      </c>
      <c r="CC29" s="11">
        <v>2</v>
      </c>
      <c r="CD29" s="11">
        <v>-3</v>
      </c>
      <c r="CE29" s="11">
        <v>1</v>
      </c>
      <c r="CF29" s="11">
        <v>-2</v>
      </c>
      <c r="CG29" s="11">
        <v>3</v>
      </c>
      <c r="CH29" s="11">
        <v>-1</v>
      </c>
      <c r="CI29" s="11">
        <v>2</v>
      </c>
      <c r="CJ29" s="12">
        <v>-3</v>
      </c>
    </row>
    <row r="30" spans="2:88" x14ac:dyDescent="0.25">
      <c r="C30" s="36">
        <v>6</v>
      </c>
      <c r="D30" s="26">
        <f t="shared" si="0"/>
        <v>0</v>
      </c>
      <c r="E30" s="26">
        <f>COUNTIF($D$10:$AY$17,-1*C30)</f>
        <v>0</v>
      </c>
    </row>
    <row r="31" spans="2:88" x14ac:dyDescent="0.25">
      <c r="C31" s="36">
        <v>7</v>
      </c>
      <c r="D31" s="26">
        <f t="shared" si="0"/>
        <v>0</v>
      </c>
      <c r="E31" s="26">
        <f>COUNTIF($D$10:$AY$17,-1*C31)</f>
        <v>0</v>
      </c>
    </row>
    <row r="32" spans="2:88" x14ac:dyDescent="0.25">
      <c r="C32" s="36">
        <v>8</v>
      </c>
      <c r="D32" s="26">
        <f t="shared" si="0"/>
        <v>0</v>
      </c>
      <c r="E32" s="26">
        <f>COUNTIF($D$10:$AY$17,-1*C32)</f>
        <v>0</v>
      </c>
    </row>
    <row r="33" spans="57:96" ht="15.75" thickBot="1" x14ac:dyDescent="0.3">
      <c r="BF33" t="s">
        <v>91</v>
      </c>
      <c r="BG33" s="22">
        <v>1</v>
      </c>
      <c r="BH33" s="22">
        <v>2</v>
      </c>
      <c r="BI33" s="22">
        <v>3</v>
      </c>
      <c r="BJ33" s="22">
        <v>4</v>
      </c>
      <c r="BK33" s="22">
        <v>5</v>
      </c>
      <c r="BL33" s="22">
        <v>6</v>
      </c>
      <c r="BM33" s="22">
        <v>7</v>
      </c>
      <c r="BN33" s="22">
        <v>8</v>
      </c>
      <c r="BO33" s="22">
        <v>9</v>
      </c>
      <c r="BP33" s="22">
        <v>10</v>
      </c>
      <c r="BQ33" s="22">
        <v>11</v>
      </c>
      <c r="BR33" s="22">
        <v>12</v>
      </c>
      <c r="BS33" s="22">
        <v>13</v>
      </c>
      <c r="BT33" s="22">
        <v>14</v>
      </c>
      <c r="BU33" s="22">
        <v>15</v>
      </c>
      <c r="BV33" s="22">
        <v>16</v>
      </c>
      <c r="BW33" s="22">
        <v>17</v>
      </c>
      <c r="BX33" s="22">
        <v>18</v>
      </c>
      <c r="BY33" s="22">
        <v>19</v>
      </c>
      <c r="BZ33" s="22">
        <v>20</v>
      </c>
      <c r="CA33" s="22">
        <v>21</v>
      </c>
      <c r="CB33" s="22">
        <v>22</v>
      </c>
      <c r="CC33" s="22">
        <v>23</v>
      </c>
      <c r="CD33" s="22">
        <v>24</v>
      </c>
      <c r="CE33" s="22">
        <v>25</v>
      </c>
      <c r="CF33" s="22">
        <v>26</v>
      </c>
      <c r="CG33" s="22">
        <v>27</v>
      </c>
      <c r="CH33" s="22">
        <v>28</v>
      </c>
      <c r="CI33" s="22">
        <v>29</v>
      </c>
      <c r="CJ33" s="22">
        <v>30</v>
      </c>
      <c r="CK33" s="22">
        <v>31</v>
      </c>
      <c r="CL33" s="22">
        <v>32</v>
      </c>
      <c r="CM33" s="22">
        <v>33</v>
      </c>
      <c r="CN33" s="22">
        <v>34</v>
      </c>
      <c r="CO33" s="22">
        <v>35</v>
      </c>
      <c r="CP33" s="22">
        <v>36</v>
      </c>
      <c r="CQ33" s="22">
        <v>37</v>
      </c>
      <c r="CR33" s="22">
        <v>38</v>
      </c>
    </row>
    <row r="34" spans="57:96" ht="15.75" thickTop="1" x14ac:dyDescent="0.25">
      <c r="BE34" s="14">
        <v>4</v>
      </c>
      <c r="BF34" s="22">
        <v>1</v>
      </c>
      <c r="BG34" s="3">
        <v>1</v>
      </c>
      <c r="BH34" s="4">
        <v>1</v>
      </c>
      <c r="BI34" s="4">
        <v>1</v>
      </c>
      <c r="BJ34" s="4">
        <v>-3</v>
      </c>
      <c r="BK34" s="4">
        <v>-3</v>
      </c>
      <c r="BL34" s="4">
        <v>2</v>
      </c>
      <c r="BM34" s="4">
        <v>2</v>
      </c>
      <c r="BN34" s="30">
        <v>2</v>
      </c>
      <c r="BO34" s="4">
        <v>-1</v>
      </c>
      <c r="BP34" s="4">
        <v>-1</v>
      </c>
      <c r="BQ34" s="4">
        <v>3</v>
      </c>
      <c r="BR34" s="4">
        <v>3</v>
      </c>
      <c r="BS34" s="4">
        <v>3</v>
      </c>
      <c r="BT34" s="4">
        <v>-2</v>
      </c>
      <c r="BU34" s="4">
        <v>-2</v>
      </c>
      <c r="BV34" s="40">
        <v>1</v>
      </c>
      <c r="BW34" s="4">
        <v>1</v>
      </c>
      <c r="BX34" s="4">
        <v>1</v>
      </c>
      <c r="BY34" s="4">
        <v>-3</v>
      </c>
      <c r="BZ34" s="4">
        <v>-3</v>
      </c>
      <c r="CA34" s="4">
        <v>5</v>
      </c>
      <c r="CB34" s="4">
        <v>5</v>
      </c>
      <c r="CC34" s="4">
        <v>2</v>
      </c>
      <c r="CD34" s="4">
        <v>-1</v>
      </c>
      <c r="CE34" s="4">
        <v>-1</v>
      </c>
      <c r="CF34" s="4">
        <v>3</v>
      </c>
      <c r="CG34" s="4">
        <v>3</v>
      </c>
      <c r="CH34" s="4">
        <v>3</v>
      </c>
      <c r="CI34" s="4">
        <v>-5</v>
      </c>
      <c r="CJ34" s="4">
        <v>-2</v>
      </c>
      <c r="CK34" s="4">
        <v>3</v>
      </c>
      <c r="CL34" s="4">
        <v>3</v>
      </c>
      <c r="CM34" s="4">
        <v>4</v>
      </c>
      <c r="CN34" s="4">
        <v>-2</v>
      </c>
      <c r="CO34" s="4">
        <v>-2</v>
      </c>
      <c r="CP34" s="4">
        <v>1</v>
      </c>
      <c r="CQ34" s="4">
        <v>-4</v>
      </c>
      <c r="CR34" s="4">
        <v>1</v>
      </c>
    </row>
    <row r="35" spans="57:96" x14ac:dyDescent="0.25">
      <c r="BE35" s="14">
        <v>3</v>
      </c>
      <c r="BF35" s="22">
        <v>2</v>
      </c>
      <c r="BG35" s="5">
        <v>1</v>
      </c>
      <c r="BH35" s="2">
        <v>1</v>
      </c>
      <c r="BI35" s="2">
        <v>1</v>
      </c>
      <c r="BJ35" s="2">
        <v>-3</v>
      </c>
      <c r="BK35" s="2">
        <v>-3</v>
      </c>
      <c r="BL35" s="2">
        <v>2</v>
      </c>
      <c r="BM35" s="2">
        <v>2</v>
      </c>
      <c r="BN35" s="2">
        <v>2</v>
      </c>
      <c r="BO35" s="2">
        <v>-1</v>
      </c>
      <c r="BP35" s="2">
        <v>-1</v>
      </c>
      <c r="BQ35" s="2">
        <v>3</v>
      </c>
      <c r="BR35" s="2">
        <v>3</v>
      </c>
      <c r="BS35" s="2">
        <v>3</v>
      </c>
      <c r="BT35" s="2">
        <v>-2</v>
      </c>
      <c r="BU35" s="2">
        <v>-2</v>
      </c>
      <c r="BV35" s="1">
        <v>1</v>
      </c>
      <c r="BW35" s="2">
        <v>1</v>
      </c>
      <c r="BX35" s="2">
        <v>1</v>
      </c>
      <c r="BY35" s="2">
        <v>-3</v>
      </c>
      <c r="BZ35" s="2">
        <v>-3</v>
      </c>
      <c r="CA35" s="2">
        <v>5</v>
      </c>
      <c r="CB35" s="2">
        <v>5</v>
      </c>
      <c r="CC35" s="2">
        <v>2</v>
      </c>
      <c r="CD35" s="2">
        <v>-1</v>
      </c>
      <c r="CE35" s="2">
        <v>-1</v>
      </c>
      <c r="CF35" s="2">
        <v>3</v>
      </c>
      <c r="CG35" s="2">
        <v>3</v>
      </c>
      <c r="CH35" s="2">
        <v>3</v>
      </c>
      <c r="CI35" s="2">
        <v>-5</v>
      </c>
      <c r="CJ35" s="2">
        <v>-5</v>
      </c>
      <c r="CK35" s="2">
        <v>3</v>
      </c>
      <c r="CL35" s="2">
        <v>3</v>
      </c>
      <c r="CM35" s="2">
        <v>4</v>
      </c>
      <c r="CN35" s="2">
        <v>-2</v>
      </c>
      <c r="CO35" s="2">
        <v>-2</v>
      </c>
      <c r="CP35" s="2">
        <v>1</v>
      </c>
      <c r="CQ35" s="2">
        <v>-4</v>
      </c>
      <c r="CR35" s="2">
        <v>1</v>
      </c>
    </row>
    <row r="36" spans="57:96" x14ac:dyDescent="0.25">
      <c r="BE36" s="14">
        <v>240</v>
      </c>
      <c r="BF36" s="22">
        <v>3</v>
      </c>
      <c r="BG36" s="7">
        <v>1</v>
      </c>
      <c r="BH36" s="8">
        <v>1</v>
      </c>
      <c r="BI36" s="8">
        <v>-3</v>
      </c>
      <c r="BJ36" s="8">
        <v>-3</v>
      </c>
      <c r="BK36" s="8">
        <v>-3</v>
      </c>
      <c r="BL36" s="8">
        <v>2</v>
      </c>
      <c r="BM36" s="8">
        <v>2</v>
      </c>
      <c r="BN36" s="8">
        <v>-1</v>
      </c>
      <c r="BO36" s="8">
        <v>-1</v>
      </c>
      <c r="BP36" s="8">
        <v>-1</v>
      </c>
      <c r="BQ36" s="8">
        <v>3</v>
      </c>
      <c r="BR36" s="8">
        <v>3</v>
      </c>
      <c r="BS36" s="8">
        <v>-2</v>
      </c>
      <c r="BT36" s="8">
        <v>-2</v>
      </c>
      <c r="BU36" s="8">
        <v>-2</v>
      </c>
      <c r="BV36" s="41">
        <v>1</v>
      </c>
      <c r="BW36" s="8">
        <v>1</v>
      </c>
      <c r="BX36" s="8">
        <v>-3</v>
      </c>
      <c r="BY36" s="8">
        <v>-3</v>
      </c>
      <c r="BZ36" s="8">
        <v>-3</v>
      </c>
      <c r="CA36" s="8">
        <v>5</v>
      </c>
      <c r="CB36" s="8">
        <v>5</v>
      </c>
      <c r="CC36" s="8">
        <v>-1</v>
      </c>
      <c r="CD36" s="8">
        <v>-1</v>
      </c>
      <c r="CE36" s="8">
        <v>-1</v>
      </c>
      <c r="CF36" s="8">
        <v>3</v>
      </c>
      <c r="CG36" s="8">
        <v>3</v>
      </c>
      <c r="CH36" s="8">
        <v>-2</v>
      </c>
      <c r="CI36" s="8">
        <v>-5</v>
      </c>
      <c r="CJ36" s="8">
        <v>-5</v>
      </c>
      <c r="CK36" s="8">
        <v>3</v>
      </c>
      <c r="CL36" s="8">
        <v>3</v>
      </c>
      <c r="CM36" s="8">
        <v>4</v>
      </c>
      <c r="CN36" s="8">
        <v>-2</v>
      </c>
      <c r="CO36" s="8">
        <v>-2</v>
      </c>
      <c r="CP36" s="8">
        <v>1</v>
      </c>
      <c r="CQ36" s="8">
        <v>-4</v>
      </c>
      <c r="CR36" s="8">
        <v>-3</v>
      </c>
    </row>
    <row r="37" spans="57:96" x14ac:dyDescent="0.25">
      <c r="BE37" s="14">
        <v>38</v>
      </c>
      <c r="BF37" s="22">
        <v>4</v>
      </c>
      <c r="BG37" s="5">
        <v>1</v>
      </c>
      <c r="BH37" s="2">
        <v>1</v>
      </c>
      <c r="BI37" s="2">
        <v>-3</v>
      </c>
      <c r="BJ37" s="2">
        <v>-3</v>
      </c>
      <c r="BK37" s="2">
        <v>-3</v>
      </c>
      <c r="BL37" s="2">
        <v>2</v>
      </c>
      <c r="BM37" s="2">
        <v>2</v>
      </c>
      <c r="BN37" s="2">
        <v>-1</v>
      </c>
      <c r="BO37" s="2">
        <v>-1</v>
      </c>
      <c r="BP37" s="2">
        <v>-1</v>
      </c>
      <c r="BQ37" s="2">
        <v>3</v>
      </c>
      <c r="BR37" s="2">
        <v>3</v>
      </c>
      <c r="BS37" s="2">
        <v>-2</v>
      </c>
      <c r="BT37" s="2">
        <v>-2</v>
      </c>
      <c r="BU37" s="2">
        <v>-2</v>
      </c>
      <c r="BV37" s="1">
        <v>1</v>
      </c>
      <c r="BW37" s="2">
        <v>1</v>
      </c>
      <c r="BX37" s="2">
        <v>-3</v>
      </c>
      <c r="BY37" s="2">
        <v>-3</v>
      </c>
      <c r="BZ37" s="2">
        <v>-3</v>
      </c>
      <c r="CA37" s="2">
        <v>5</v>
      </c>
      <c r="CB37" s="2">
        <v>5</v>
      </c>
      <c r="CC37" s="2">
        <v>-1</v>
      </c>
      <c r="CD37" s="2">
        <v>-1</v>
      </c>
      <c r="CE37" s="2">
        <v>-1</v>
      </c>
      <c r="CF37" s="2">
        <v>3</v>
      </c>
      <c r="CG37" s="2">
        <v>3</v>
      </c>
      <c r="CH37" s="2">
        <v>-2</v>
      </c>
      <c r="CI37" s="2">
        <v>-5</v>
      </c>
      <c r="CJ37" s="2">
        <v>-5</v>
      </c>
      <c r="CK37" s="2">
        <v>3</v>
      </c>
      <c r="CL37" s="2">
        <v>3</v>
      </c>
      <c r="CM37" s="2">
        <v>4</v>
      </c>
      <c r="CN37" s="2">
        <v>-2</v>
      </c>
      <c r="CO37" s="2">
        <v>-2</v>
      </c>
      <c r="CP37" s="2">
        <v>1</v>
      </c>
      <c r="CQ37" s="2">
        <v>-4</v>
      </c>
      <c r="CR37" s="2">
        <v>-3</v>
      </c>
    </row>
  </sheetData>
  <mergeCells count="3">
    <mergeCell ref="BF6:BK8"/>
    <mergeCell ref="BF9:BG9"/>
    <mergeCell ref="BF21:BG21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BN204"/>
  <sheetViews>
    <sheetView topLeftCell="P1" workbookViewId="0">
      <selection activeCell="BD16" sqref="BD16"/>
    </sheetView>
  </sheetViews>
  <sheetFormatPr defaultRowHeight="15" x14ac:dyDescent="0.25"/>
  <cols>
    <col min="1" max="1" width="2.7109375" customWidth="1"/>
    <col min="2" max="2" width="7.140625" customWidth="1"/>
    <col min="4" max="51" width="4.7109375" customWidth="1"/>
    <col min="52" max="57" width="7.7109375" customWidth="1"/>
  </cols>
  <sheetData>
    <row r="1" spans="2:62" ht="10.5" customHeight="1" x14ac:dyDescent="0.25"/>
    <row r="2" spans="2:62" ht="15" customHeight="1" x14ac:dyDescent="0.35">
      <c r="C2" s="15" t="s">
        <v>0</v>
      </c>
      <c r="D2" s="37">
        <f>Lind!D4</f>
        <v>4</v>
      </c>
      <c r="E2" t="s">
        <v>2</v>
      </c>
      <c r="H2" s="15" t="s">
        <v>7</v>
      </c>
      <c r="I2" s="39">
        <f>Lind!I4</f>
        <v>0.3</v>
      </c>
      <c r="J2" t="s">
        <v>5</v>
      </c>
      <c r="M2" s="15" t="s">
        <v>10</v>
      </c>
      <c r="N2" s="37">
        <f>Lind!N4</f>
        <v>2</v>
      </c>
      <c r="O2" t="s">
        <v>11</v>
      </c>
      <c r="R2" s="23" t="s">
        <v>16</v>
      </c>
      <c r="S2" s="26">
        <f>D2/2</f>
        <v>2</v>
      </c>
      <c r="V2" s="15" t="s">
        <v>21</v>
      </c>
      <c r="W2" s="35">
        <f>Lind!S7</f>
        <v>0.03</v>
      </c>
      <c r="Y2" s="15" t="s">
        <v>26</v>
      </c>
      <c r="Z2" s="49">
        <f>Lind!X4</f>
        <v>0.82499999999999996</v>
      </c>
      <c r="AA2" t="s">
        <v>4</v>
      </c>
      <c r="BA2" s="65" t="s">
        <v>50</v>
      </c>
      <c r="BB2" s="66" t="s">
        <v>48</v>
      </c>
      <c r="BC2" s="66" t="s">
        <v>49</v>
      </c>
      <c r="BD2" s="65"/>
    </row>
    <row r="3" spans="2:62" ht="18" x14ac:dyDescent="0.35">
      <c r="C3" s="15" t="s">
        <v>8</v>
      </c>
      <c r="D3" s="38">
        <f>Lind!N6</f>
        <v>0.5</v>
      </c>
      <c r="E3" t="s">
        <v>3</v>
      </c>
      <c r="H3" s="15" t="s">
        <v>6</v>
      </c>
      <c r="I3" s="39">
        <f>Lind!I5</f>
        <v>0.5</v>
      </c>
      <c r="J3" t="s">
        <v>5</v>
      </c>
      <c r="M3" s="15" t="s">
        <v>12</v>
      </c>
      <c r="N3" s="37">
        <f>Lind!N5</f>
        <v>5</v>
      </c>
      <c r="O3" t="s">
        <v>11</v>
      </c>
      <c r="R3" s="15" t="s">
        <v>18</v>
      </c>
      <c r="S3" s="26">
        <f>N4/D2/I5</f>
        <v>1.9</v>
      </c>
      <c r="Y3" t="s">
        <v>29</v>
      </c>
      <c r="Z3" s="25">
        <f>2*PI()*Lind!I4*Lind!D6/60</f>
        <v>7.5398223686155035</v>
      </c>
      <c r="AA3" t="s">
        <v>30</v>
      </c>
      <c r="AE3" s="67">
        <f ca="1">RAND()*$Z$11*$N$5</f>
        <v>7.8571371519184072E-2</v>
      </c>
      <c r="BA3">
        <v>1</v>
      </c>
      <c r="BB3">
        <f t="shared" ref="BB3:BB10" si="0">COUNTIF($D$15:$AO$22,BA3)</f>
        <v>26</v>
      </c>
      <c r="BC3">
        <f t="shared" ref="BC3:BC10" si="1">COUNTIF($D$15:$AO$22,-1*BA3)</f>
        <v>20</v>
      </c>
      <c r="BD3">
        <f t="shared" ref="BD3:BD10" si="2">BB3+BC3</f>
        <v>46</v>
      </c>
    </row>
    <row r="4" spans="2:62" x14ac:dyDescent="0.25">
      <c r="C4" s="15" t="s">
        <v>1</v>
      </c>
      <c r="D4" s="37">
        <f>Lind!S5</f>
        <v>1.32</v>
      </c>
      <c r="E4" t="s">
        <v>4</v>
      </c>
      <c r="H4" s="15" t="s">
        <v>9</v>
      </c>
      <c r="I4" s="38">
        <f>Lind!I6</f>
        <v>0.5</v>
      </c>
      <c r="J4" t="s">
        <v>3</v>
      </c>
      <c r="M4" t="s">
        <v>19</v>
      </c>
      <c r="N4" s="37">
        <f>Lind!D7</f>
        <v>38</v>
      </c>
      <c r="O4" t="s">
        <v>14</v>
      </c>
      <c r="R4" t="s">
        <v>20</v>
      </c>
      <c r="S4" s="28">
        <f>D13*180/PI()</f>
        <v>18.94736842105263</v>
      </c>
      <c r="Y4" t="s">
        <v>31</v>
      </c>
      <c r="Z4" s="25">
        <f>Z2*Z3</f>
        <v>6.2203534541077898</v>
      </c>
      <c r="AA4" t="s">
        <v>32</v>
      </c>
      <c r="AE4" s="67">
        <f ca="1">RAND()*$Z$11*$N$5</f>
        <v>0.21937453753714742</v>
      </c>
      <c r="BA4">
        <v>2</v>
      </c>
      <c r="BB4">
        <f t="shared" si="0"/>
        <v>12</v>
      </c>
      <c r="BC4">
        <f t="shared" si="1"/>
        <v>21</v>
      </c>
      <c r="BD4">
        <f t="shared" si="2"/>
        <v>33</v>
      </c>
    </row>
    <row r="5" spans="2:62" ht="18" x14ac:dyDescent="0.35">
      <c r="C5" s="15" t="s">
        <v>28</v>
      </c>
      <c r="D5">
        <f>Lind!$D$6</f>
        <v>240</v>
      </c>
      <c r="E5" t="s">
        <v>28</v>
      </c>
      <c r="H5" s="15" t="s">
        <v>13</v>
      </c>
      <c r="I5" s="37">
        <f>Lind!D5</f>
        <v>5</v>
      </c>
      <c r="J5" t="s">
        <v>14</v>
      </c>
      <c r="M5" s="15" t="s">
        <v>84</v>
      </c>
      <c r="N5" s="13">
        <v>0.05</v>
      </c>
      <c r="Y5" t="s">
        <v>33</v>
      </c>
      <c r="Z5" s="25">
        <f>Z4*Lind!I5</f>
        <v>3.1101767270538949</v>
      </c>
      <c r="AA5" t="s">
        <v>34</v>
      </c>
      <c r="AE5" s="67">
        <f ca="1">RAND()*$Z$11*$N$5</f>
        <v>1.809896803746013</v>
      </c>
      <c r="BA5">
        <v>3</v>
      </c>
      <c r="BB5">
        <f t="shared" si="0"/>
        <v>28</v>
      </c>
      <c r="BC5">
        <f t="shared" si="1"/>
        <v>22</v>
      </c>
      <c r="BD5">
        <f t="shared" si="2"/>
        <v>50</v>
      </c>
    </row>
    <row r="6" spans="2:62" x14ac:dyDescent="0.25">
      <c r="C6" s="15" t="s">
        <v>46</v>
      </c>
      <c r="D6">
        <f>D5/60*2*PI()*D2/2</f>
        <v>50.26548245743669</v>
      </c>
      <c r="E6" t="s">
        <v>45</v>
      </c>
      <c r="H6" s="15"/>
      <c r="BA6">
        <v>4</v>
      </c>
      <c r="BB6">
        <f t="shared" si="0"/>
        <v>4</v>
      </c>
      <c r="BC6">
        <f t="shared" si="1"/>
        <v>4</v>
      </c>
      <c r="BD6">
        <f t="shared" si="2"/>
        <v>8</v>
      </c>
    </row>
    <row r="7" spans="2:62" x14ac:dyDescent="0.25">
      <c r="C7" s="15"/>
      <c r="H7" s="15"/>
      <c r="BA7">
        <v>5</v>
      </c>
      <c r="BB7">
        <f t="shared" si="0"/>
        <v>8</v>
      </c>
      <c r="BC7">
        <f t="shared" si="1"/>
        <v>7</v>
      </c>
      <c r="BD7">
        <f t="shared" si="2"/>
        <v>15</v>
      </c>
    </row>
    <row r="8" spans="2:62" x14ac:dyDescent="0.25">
      <c r="C8" s="15"/>
      <c r="H8" s="15"/>
      <c r="BA8">
        <v>6</v>
      </c>
      <c r="BB8">
        <f t="shared" si="0"/>
        <v>0</v>
      </c>
      <c r="BC8">
        <f t="shared" si="1"/>
        <v>0</v>
      </c>
      <c r="BD8">
        <f t="shared" si="2"/>
        <v>0</v>
      </c>
    </row>
    <row r="9" spans="2:62" x14ac:dyDescent="0.25">
      <c r="C9" s="15"/>
      <c r="H9" s="15"/>
      <c r="BA9">
        <v>7</v>
      </c>
      <c r="BB9">
        <f t="shared" si="0"/>
        <v>0</v>
      </c>
      <c r="BC9">
        <f t="shared" si="1"/>
        <v>0</v>
      </c>
      <c r="BD9">
        <f t="shared" si="2"/>
        <v>0</v>
      </c>
    </row>
    <row r="10" spans="2:62" x14ac:dyDescent="0.25">
      <c r="C10" s="15"/>
      <c r="H10" s="15"/>
      <c r="BA10">
        <v>8</v>
      </c>
      <c r="BB10">
        <f t="shared" si="0"/>
        <v>0</v>
      </c>
      <c r="BC10">
        <f t="shared" si="1"/>
        <v>0</v>
      </c>
      <c r="BD10">
        <f t="shared" si="2"/>
        <v>0</v>
      </c>
    </row>
    <row r="11" spans="2:62" x14ac:dyDescent="0.25">
      <c r="C11" s="15"/>
      <c r="H11" s="15"/>
      <c r="Y11" s="15" t="s">
        <v>83</v>
      </c>
      <c r="Z11">
        <f>BC11*Z5/I5</f>
        <v>94.549372502438402</v>
      </c>
      <c r="BB11" s="15" t="s">
        <v>88</v>
      </c>
      <c r="BC11">
        <f>SUM(BB3:BC10)</f>
        <v>152</v>
      </c>
    </row>
    <row r="12" spans="2:62" x14ac:dyDescent="0.25">
      <c r="H12" s="15"/>
    </row>
    <row r="13" spans="2:62" x14ac:dyDescent="0.25">
      <c r="B13" t="s">
        <v>71</v>
      </c>
      <c r="C13" s="15" t="s">
        <v>17</v>
      </c>
      <c r="D13">
        <f t="shared" ref="D13:AY13" si="3">D14/Q*$S$2*2*PI()-6.283*INT(D14/Q*$S$2)</f>
        <v>0.33069396353576769</v>
      </c>
      <c r="E13">
        <f t="shared" si="3"/>
        <v>0.66138792707153538</v>
      </c>
      <c r="F13">
        <f t="shared" si="3"/>
        <v>0.99208189060730301</v>
      </c>
      <c r="G13">
        <f t="shared" si="3"/>
        <v>1.3227758541430708</v>
      </c>
      <c r="H13">
        <f t="shared" si="3"/>
        <v>1.6534698176788385</v>
      </c>
      <c r="I13">
        <f t="shared" si="3"/>
        <v>1.984163781214606</v>
      </c>
      <c r="J13">
        <f t="shared" si="3"/>
        <v>2.3148577447503738</v>
      </c>
      <c r="K13">
        <f t="shared" si="3"/>
        <v>2.6455517082861415</v>
      </c>
      <c r="L13">
        <f t="shared" si="3"/>
        <v>2.9762456718219092</v>
      </c>
      <c r="M13">
        <f t="shared" si="3"/>
        <v>3.306939635357677</v>
      </c>
      <c r="N13">
        <f t="shared" si="3"/>
        <v>3.6376335988934447</v>
      </c>
      <c r="O13">
        <f t="shared" si="3"/>
        <v>3.968327562429212</v>
      </c>
      <c r="P13">
        <f t="shared" si="3"/>
        <v>4.2990215259649798</v>
      </c>
      <c r="Q13">
        <f t="shared" si="3"/>
        <v>4.6297154895007475</v>
      </c>
      <c r="R13">
        <f t="shared" si="3"/>
        <v>4.9604094530365153</v>
      </c>
      <c r="S13">
        <f t="shared" si="3"/>
        <v>5.291103416572283</v>
      </c>
      <c r="T13">
        <f t="shared" si="3"/>
        <v>5.6217973801080507</v>
      </c>
      <c r="U13">
        <f t="shared" si="3"/>
        <v>5.9524913436438185</v>
      </c>
      <c r="V13">
        <f t="shared" si="3"/>
        <v>1.8530717958586962E-4</v>
      </c>
      <c r="W13">
        <f t="shared" si="3"/>
        <v>0.33087927071535361</v>
      </c>
      <c r="X13">
        <f t="shared" si="3"/>
        <v>0.66157323425112224</v>
      </c>
      <c r="Y13">
        <f t="shared" si="3"/>
        <v>0.9922671977868891</v>
      </c>
      <c r="Z13">
        <f t="shared" si="3"/>
        <v>1.3229611613226568</v>
      </c>
      <c r="AA13">
        <f t="shared" si="3"/>
        <v>1.6536551248584237</v>
      </c>
      <c r="AB13">
        <f t="shared" si="3"/>
        <v>1.9843490883941923</v>
      </c>
      <c r="AC13">
        <f t="shared" si="3"/>
        <v>2.3150430519299592</v>
      </c>
      <c r="AD13">
        <f t="shared" si="3"/>
        <v>2.6457370154657278</v>
      </c>
      <c r="AE13">
        <f t="shared" si="3"/>
        <v>2.9764309790014947</v>
      </c>
      <c r="AF13">
        <f t="shared" si="3"/>
        <v>3.3071249425372633</v>
      </c>
      <c r="AG13">
        <f t="shared" si="3"/>
        <v>3.6378189060730302</v>
      </c>
      <c r="AH13">
        <f t="shared" si="3"/>
        <v>3.9685128696087988</v>
      </c>
      <c r="AI13">
        <f t="shared" si="3"/>
        <v>4.2992068331445656</v>
      </c>
      <c r="AJ13">
        <f t="shared" si="3"/>
        <v>4.6299007966803343</v>
      </c>
      <c r="AK13">
        <f t="shared" si="3"/>
        <v>4.9605947602161011</v>
      </c>
      <c r="AL13">
        <f t="shared" si="3"/>
        <v>5.291288723751868</v>
      </c>
      <c r="AM13">
        <f t="shared" si="3"/>
        <v>5.6219826872876366</v>
      </c>
      <c r="AN13">
        <f t="shared" si="3"/>
        <v>5.9526766508234052</v>
      </c>
      <c r="AO13">
        <f t="shared" si="3"/>
        <v>3.7061435917173924E-4</v>
      </c>
      <c r="AP13">
        <f t="shared" si="3"/>
        <v>0.33106457789494037</v>
      </c>
      <c r="AQ13">
        <f t="shared" si="3"/>
        <v>0.66175854143070723</v>
      </c>
      <c r="AR13">
        <f t="shared" si="3"/>
        <v>0.99245250496647586</v>
      </c>
      <c r="AS13">
        <f t="shared" si="3"/>
        <v>1.3231464685022445</v>
      </c>
      <c r="AT13">
        <f t="shared" si="3"/>
        <v>1.6538404320380096</v>
      </c>
      <c r="AU13">
        <f t="shared" si="3"/>
        <v>1.9845343955737782</v>
      </c>
      <c r="AV13">
        <f t="shared" si="3"/>
        <v>2.3152283591095451</v>
      </c>
      <c r="AW13">
        <f t="shared" si="3"/>
        <v>2.6459223226453137</v>
      </c>
      <c r="AX13">
        <f t="shared" si="3"/>
        <v>2.9766162861810823</v>
      </c>
      <c r="AY13">
        <f t="shared" si="3"/>
        <v>3.3073102497168474</v>
      </c>
      <c r="BB13" t="s">
        <v>85</v>
      </c>
      <c r="BC13" s="29">
        <f>$Z$5*$N$5*BD3</f>
        <v>7.1534064722239581</v>
      </c>
      <c r="BD13" s="29">
        <f>$Z$5*$N$5*BD4</f>
        <v>5.1317915996389267</v>
      </c>
      <c r="BE13" s="29">
        <f>$Z$5*$N$5*BD5</f>
        <v>7.7754418176347375</v>
      </c>
      <c r="BF13" s="29">
        <f>$Z$5*$N$5*BD6</f>
        <v>1.244070690821558</v>
      </c>
      <c r="BG13" s="29">
        <f>$Z$5*$N$5*BD7</f>
        <v>2.3326325452904211</v>
      </c>
      <c r="BH13" s="29">
        <f>$Z$5*$N$5*BD8</f>
        <v>0</v>
      </c>
      <c r="BI13" s="29">
        <f>$Z$5*$N$5*BD9</f>
        <v>0</v>
      </c>
      <c r="BJ13" s="29">
        <f>$Z$5*$N$5*BD10</f>
        <v>0</v>
      </c>
    </row>
    <row r="14" spans="2:62" ht="15.75" thickBot="1" x14ac:dyDescent="0.3">
      <c r="C14" s="15" t="s">
        <v>15</v>
      </c>
      <c r="D14" s="19">
        <v>1</v>
      </c>
      <c r="E14" s="20">
        <v>2</v>
      </c>
      <c r="F14" s="20">
        <v>3</v>
      </c>
      <c r="G14" s="20">
        <v>4</v>
      </c>
      <c r="H14" s="20">
        <v>5</v>
      </c>
      <c r="I14" s="20">
        <v>6</v>
      </c>
      <c r="J14" s="20">
        <v>7</v>
      </c>
      <c r="K14" s="20">
        <v>8</v>
      </c>
      <c r="L14" s="20">
        <v>9</v>
      </c>
      <c r="M14" s="20">
        <v>10</v>
      </c>
      <c r="N14" s="20">
        <v>11</v>
      </c>
      <c r="O14" s="20">
        <v>12</v>
      </c>
      <c r="P14" s="20">
        <v>13</v>
      </c>
      <c r="Q14" s="20">
        <v>14</v>
      </c>
      <c r="R14" s="20">
        <v>15</v>
      </c>
      <c r="S14" s="20">
        <v>16</v>
      </c>
      <c r="T14" s="20">
        <v>17</v>
      </c>
      <c r="U14" s="20">
        <v>18</v>
      </c>
      <c r="V14" s="20">
        <v>19</v>
      </c>
      <c r="W14" s="20">
        <v>20</v>
      </c>
      <c r="X14" s="20">
        <v>21</v>
      </c>
      <c r="Y14" s="20">
        <v>22</v>
      </c>
      <c r="Z14" s="20">
        <v>23</v>
      </c>
      <c r="AA14" s="20">
        <v>24</v>
      </c>
      <c r="AB14" s="20">
        <v>25</v>
      </c>
      <c r="AC14" s="20">
        <v>26</v>
      </c>
      <c r="AD14" s="20">
        <v>27</v>
      </c>
      <c r="AE14" s="20">
        <v>28</v>
      </c>
      <c r="AF14" s="20">
        <v>29</v>
      </c>
      <c r="AG14" s="21">
        <v>30</v>
      </c>
      <c r="AH14" s="20">
        <v>31</v>
      </c>
      <c r="AI14" s="20">
        <v>32</v>
      </c>
      <c r="AJ14" s="20">
        <v>33</v>
      </c>
      <c r="AK14" s="20">
        <v>34</v>
      </c>
      <c r="AL14" s="20">
        <v>35</v>
      </c>
      <c r="AM14" s="20">
        <v>36</v>
      </c>
      <c r="AN14" s="20">
        <v>37</v>
      </c>
      <c r="AO14" s="20">
        <v>38</v>
      </c>
      <c r="AP14" s="20">
        <v>39</v>
      </c>
      <c r="AQ14" s="21">
        <v>40</v>
      </c>
      <c r="AR14" s="20">
        <v>41</v>
      </c>
      <c r="AS14" s="20">
        <v>42</v>
      </c>
      <c r="AT14" s="20">
        <v>43</v>
      </c>
      <c r="AU14" s="20">
        <v>44</v>
      </c>
      <c r="AV14" s="20">
        <v>45</v>
      </c>
      <c r="AW14" s="20">
        <v>46</v>
      </c>
      <c r="AX14" s="20">
        <v>47</v>
      </c>
      <c r="AY14" s="20">
        <v>48</v>
      </c>
      <c r="BA14" t="s">
        <v>73</v>
      </c>
      <c r="BB14" t="s">
        <v>74</v>
      </c>
      <c r="BC14" t="s">
        <v>75</v>
      </c>
      <c r="BD14" t="s">
        <v>76</v>
      </c>
      <c r="BE14" t="s">
        <v>77</v>
      </c>
      <c r="BF14" t="s">
        <v>78</v>
      </c>
      <c r="BG14" t="s">
        <v>79</v>
      </c>
      <c r="BH14" t="s">
        <v>80</v>
      </c>
      <c r="BI14" t="s">
        <v>81</v>
      </c>
      <c r="BJ14" t="s">
        <v>82</v>
      </c>
    </row>
    <row r="15" spans="2:62" ht="15.75" thickTop="1" x14ac:dyDescent="0.25">
      <c r="C15" s="22">
        <v>1</v>
      </c>
      <c r="D15" s="3">
        <f>Lind!D10</f>
        <v>1</v>
      </c>
      <c r="E15" s="4">
        <f>Lind!E10</f>
        <v>1</v>
      </c>
      <c r="F15" s="4">
        <f>Lind!F10</f>
        <v>1</v>
      </c>
      <c r="G15" s="4">
        <f>Lind!G10</f>
        <v>-3</v>
      </c>
      <c r="H15" s="4">
        <f>Lind!H10</f>
        <v>-3</v>
      </c>
      <c r="I15" s="4">
        <f>Lind!I10</f>
        <v>2</v>
      </c>
      <c r="J15" s="4">
        <f>Lind!J10</f>
        <v>2</v>
      </c>
      <c r="K15" s="30">
        <f>Lind!K10</f>
        <v>2</v>
      </c>
      <c r="L15" s="4">
        <f>Lind!L10</f>
        <v>-1</v>
      </c>
      <c r="M15" s="4">
        <f>Lind!M10</f>
        <v>-1</v>
      </c>
      <c r="N15" s="4">
        <f>Lind!N10</f>
        <v>3</v>
      </c>
      <c r="O15" s="4">
        <f>Lind!O10</f>
        <v>3</v>
      </c>
      <c r="P15" s="4">
        <f>Lind!P10</f>
        <v>3</v>
      </c>
      <c r="Q15" s="4">
        <f>Lind!Q10</f>
        <v>-2</v>
      </c>
      <c r="R15" s="4">
        <f>Lind!R10</f>
        <v>-2</v>
      </c>
      <c r="S15" s="3">
        <f>Lind!S10</f>
        <v>1</v>
      </c>
      <c r="T15" s="4">
        <f>Lind!T10</f>
        <v>1</v>
      </c>
      <c r="U15" s="4">
        <f>Lind!U10</f>
        <v>1</v>
      </c>
      <c r="V15" s="4">
        <f>Lind!V10</f>
        <v>-3</v>
      </c>
      <c r="W15" s="4">
        <f>Lind!W10</f>
        <v>-3</v>
      </c>
      <c r="X15" s="4">
        <f>Lind!X10</f>
        <v>5</v>
      </c>
      <c r="Y15" s="4">
        <f>Lind!Y10</f>
        <v>5</v>
      </c>
      <c r="Z15" s="4">
        <f>Lind!Z10</f>
        <v>2</v>
      </c>
      <c r="AA15" s="4">
        <f>Lind!AA10</f>
        <v>-1</v>
      </c>
      <c r="AB15" s="4">
        <f>Lind!AB10</f>
        <v>-1</v>
      </c>
      <c r="AC15" s="4">
        <f>Lind!AC10</f>
        <v>3</v>
      </c>
      <c r="AD15" s="4">
        <f>Lind!AD10</f>
        <v>3</v>
      </c>
      <c r="AE15" s="4">
        <f>Lind!AE10</f>
        <v>3</v>
      </c>
      <c r="AF15" s="4">
        <f>Lind!AF10</f>
        <v>-5</v>
      </c>
      <c r="AG15" s="31">
        <f>Lind!AG10</f>
        <v>-2</v>
      </c>
      <c r="AH15" s="4">
        <f>Lind!AH10</f>
        <v>3</v>
      </c>
      <c r="AI15" s="4">
        <f>Lind!AI10</f>
        <v>3</v>
      </c>
      <c r="AJ15" s="4">
        <f>Lind!AJ10</f>
        <v>4</v>
      </c>
      <c r="AK15" s="4">
        <f>Lind!AK10</f>
        <v>-2</v>
      </c>
      <c r="AL15" s="4">
        <f>Lind!AL10</f>
        <v>-2</v>
      </c>
      <c r="AM15" s="4">
        <f>Lind!AM10</f>
        <v>1</v>
      </c>
      <c r="AN15" s="4">
        <f>Lind!AN10</f>
        <v>-4</v>
      </c>
      <c r="AO15" s="4">
        <f>Lind!AO10</f>
        <v>1</v>
      </c>
      <c r="AP15" s="4">
        <f>Lind!AP10</f>
        <v>0</v>
      </c>
      <c r="AQ15" s="31">
        <f>Lind!AQ10</f>
        <v>0</v>
      </c>
      <c r="AR15" s="4">
        <f>Lind!AR10</f>
        <v>0</v>
      </c>
      <c r="AS15" s="4">
        <f>Lind!AS10</f>
        <v>0</v>
      </c>
      <c r="AT15" s="4">
        <f>Lind!AT10</f>
        <v>0</v>
      </c>
      <c r="AU15" s="4">
        <f>Lind!AU10</f>
        <v>0</v>
      </c>
      <c r="AV15" s="4">
        <f>Lind!AV10</f>
        <v>0</v>
      </c>
      <c r="AW15" s="4">
        <f>Lind!AW10</f>
        <v>0</v>
      </c>
      <c r="AX15" s="4">
        <f>Lind!AX10</f>
        <v>0</v>
      </c>
      <c r="AY15" s="4">
        <f>Lind!AY10</f>
        <v>0</v>
      </c>
      <c r="BA15">
        <v>0</v>
      </c>
      <c r="BB15" s="48">
        <f>BA15*$D$6</f>
        <v>0</v>
      </c>
      <c r="BC15" s="69">
        <f t="shared" ref="BC15:BC46" ca="1" si="4">D$25*$Z$5*MAGNET(D$24+BB15)+E$25*$Z$5*MAGNET(E$24+BB15)+F$25*$Z$5*MAGNET(F$24+BB15)+G$25*$Z$5*MAGNET(G$24+BB15)+H$25*$Z$5*MAGNET(H$24+BB15)+I$25*$Z$5*MAGNET(I$24+BB15)+J$25*$Z$5*MAGNET(J$24+BB15)+K$25*$Z$5*MAGNET(K$24+BB15)+L$25*$Z$5*MAGNET(L$24+BB15)+M$25*$Z$5*MAGNET(M$24+BB15)+N$25*$Z$5*MAGNET(N$24+BB15)+O$25*$Z$5*MAGNET(O$24+BB15)+P$25*$Z$5*MAGNET(P$24+BB15)+Q$25*$Z$5*MAGNET(Q$24+BB15)+R$25*$Z$5*MAGNET(R$24+BB15)+S$25*$Z$5*MAGNET(S$24+BB15)+T$25*$Z$5*MAGNET(T$24+BB15)+U$25*$Z$5*MAGNET(U$24+BB15)+V$25*$Z$5*MAGNET(V$24+BB15)+W$25*$Z$5*MAGNET(W$24+BB15)+X$25*$Z$5*MAGNET(X$24+BB15)+Y$25*$Z$5*MAGNET(Y$24+BB15)+Z$25*$Z$5*MAGNET(Z$24+BB15)+AA$25*$Z$5*MAGNET(AA$24+BB15)+AB$25*$Z$5*MAGNET(AB$24+BB15)+AC$25*$Z$5*MAGNET(AC$24+BB15)+AD$25*$Z$5*MAGNET(AD$24+BB15)+AE$25*$Z$5*MAGNET(AE$24+BB15)+AF$25*$Z$5*MAGNET(AF$24+BB15)+AG$25*$Z$5*MAGNET(AG$24+BB15)+AH$25*$Z$5*MAGNET(AH$24+BB15) +AI$25*$Z$5*MAGNET(AI$24+BB15) +AJ$25*$Z$5*MAGNET(AJ$24+BB15) +AK$25*$Z$5*MAGNET(AK$24+BB15) +AL$25*$Z$5*MAGNET(AL$24+BB15) +AM$25*$Z$5*MAGNET(AM$24+BB15) +AN$25*$Z$5*MAGNET(AN$24+BB15) +AO$25*$Z$5*MAGNET(AO$24+BB15)+RAND()*$BC$13+AP$25*$Z$5*MAGNET(AP$24+BB15)
+AQ$25*$Z$5*MAGNET(AQ$24+BB15)
+AR$25*$Z$5*MAGNET(AR$24+BB15)
+AS$25*$Z$5*MAGNET(AS$24+BB15)
+AT$25*$Z$5*MAGNET(AT$24+BB15)
+AU$25*$Z$5*MAGNET(AU$24+BB15)
+AV$25*$Z$5*MAGNET(AV$24+BB15)
+AW$25*$Z$5*MAGNET(AW$24+BB15)
+AX$25*$Z$5*MAGNET(AX$24+BB15)
+AY$25*$Z$5*MAGNET(AY$24+BB15)</f>
        <v>-45.506483293225834</v>
      </c>
      <c r="BD15" s="69">
        <f t="shared" ref="BD15:BD46" ca="1" si="5">E$26*$Z$5*MAGNET(E$24+$BB15)+F$26*$Z$5*MAGNET(F$24+$BB15)+G$26*$Z$5*MAGNET(G$24+$BB15)+H$26*$Z$5*MAGNET(H$24+$BB15)+I$26*$Z$5*MAGNET(I$24+$BB15)+J$26*$Z$5*MAGNET(J$24+$BB15)+K$26*$Z$5*MAGNET(K$24+$BB15)+L$26*$Z$5*MAGNET(L$24+$BB15)+M$26*$Z$5*MAGNET(M$24+$BB15)+N$26*$Z$5*MAGNET(N$24+$BB15)+O$26*$Z$5*MAGNET(O$24+$BB15)+P$26*$Z$5*MAGNET(P$24+$BB15)+Q$26*$Z$5*MAGNET(Q$24+$BB15)+R$26*$Z$5*MAGNET(R$24+$BB15)+S$26*$Z$5*MAGNET(S$24+$BB15)+T$26*$Z$5*MAGNET(T$24+$BB15)+U$26*$Z$5*MAGNET(U$24+$BB15)+V$26*$Z$5*MAGNET(V$24+$BB15)+W$26*$Z$5*MAGNET(W$24+$BB15)+X$26*$Z$5*MAGNET(X$24+$BB15)+Y$26*$Z$5*MAGNET(Y$24+$BB15)+Z$26*$Z$5*MAGNET(Z$24+$BB15)+AA$26*$Z$5*MAGNET(AA$24+$BB15)+AB$26*$Z$5*MAGNET(AB$24+$BB15)+AC$26*$Z$5*MAGNET(AC$24+$BB15)+AD$26*$Z$5*MAGNET(AD$24+$BB15)+AE$26*$Z$5*MAGNET(AE$24+$BB15)+AF$26*$Z$5*MAGNET(AF$24+$BB15)+AG$26*$Z$5*MAGNET(AG$24+$BB15)+D$26*$Z$5*MAGNET(D$24+$BB15)+AH$26*$Z$5*MAGNET(AH$24+BB15) +AI$26*$Z$5*MAGNET(AI$24+BB15) +AJ$26*$Z$5*MAGNET(AJ$24+BB15) +AK$26*$Z$5*MAGNET(AK$24+BB15) +AL$26*$Z$5*MAGNET(AL$24+BB15) +AM$26*$Z$5*MAGNET(AM$24+BB15) +AN$26*$Z$5*MAGNET(AN$24+BB15) +AO$26*$Z$5*MAGNET(AO$24+BB15) +AP$26*$Z$5*MAGNET(AP$24+$BB15)
+AQ$26*$Z$5*MAGNET(AQ$24+$BB15)
+AR$26*$Z$5*MAGNET(AR$24+$BB15)
+AS$26*$Z$5*MAGNET(AS$24+$BB15)
+AT$26*$Z$5*MAGNET(AT$24+$BB15)
+AU$26*$Z$5*MAGNET(AU$24+$BB15)
+AV$26*$Z$5*MAGNET(AV$24+$BB15)
+AW$26*$Z$5*MAGNET(AW$24+$BB15)
+AX$26*$Z$5*MAGNET(AX$24+$BB15)
+AY$26*$Z$5*MAGNET(AY$24+$BB15) +RAND()*$BD$13</f>
        <v>92.65111612482707</v>
      </c>
      <c r="BE15" s="70">
        <f t="shared" ref="BE15:BE46" ca="1" si="6">E$27*$Z$5*MAGNET(E$24+$BB15)+F$27*$Z$5*MAGNET(F$24+$BB15)+G$27*$Z$5*MAGNET(G$24+$BB15)+H$27*$Z$5*MAGNET(H$24+$BB15)+I$27*$Z$5*MAGNET(I$24+$BB15)+J$27*$Z$5*MAGNET(J$24+$BB15)+K$27*$Z$5*MAGNET(K$24+$BB15)+L$27*$Z$5*MAGNET(L$24+$BB15)+M$27*$Z$5*MAGNET(M$24+$BB15)+N$27*$Z$5*MAGNET(N$24+$BB15)+O$27*$Z$5*MAGNET(O$24+$BB15)+P$27*$Z$5*MAGNET(P$24+$BB15)+Q$27*$Z$5*MAGNET(Q$24+$BB15)+R$27*$Z$5*MAGNET(R$24+$BB15)+S$27*$Z$5*MAGNET(S$24+$BB15)+T$27*$Z$5*MAGNET(T$24+$BB15)+U$27*$Z$5*MAGNET(U$24+$BB15)+V$27*$Z$5*MAGNET(V$24+$BB15)+W$27*$Z$5*MAGNET(W$24+$BB15)+X$27*$Z$5*MAGNET(X$24+$BB15)+Y$27*$Z$5*MAGNET(Y$24+$BB15)+Z$27*$Z$5*MAGNET(Z$24+$BB15)+AA$27*$Z$5*MAGNET(AA$24+$BB15)+AB$27*$Z$5*MAGNET(AB$24+$BB15)+AC$27*$Z$5*MAGNET(AC$24+$BB15)+AD$27*$Z$5*MAGNET(AD$24+$BB15)+AE$27*$Z$5*MAGNET(AE$24+$BB15)+AF$27*$Z$5*MAGNET(AF$24+$BB15)+AG$27*$Z$5*MAGNET(AG$24+$BB15)+D$27*$Z$5*MAGNET(D$24+$BB15)+AH$27*$Z$5*MAGNET(AH$24+BB15) +AI$27*$Z$5*MAGNET(AI$24+BB15) +AJ$27*$Z$5*MAGNET(AJ$24+BB15) +AK$27*$Z$5*MAGNET(AK$24+BB15) +AL$27*$Z$5*MAGNET(AL$24+BB15) +AM$27*$Z$5*MAGNET(AM$24+BB15) +AN$27*$Z$5*MAGNET(AN$24+BB15) +AO$27*$Z$5*MAGNET(AO$24+BB15) +AP$27*$Z$5*MAGNET(AP$24+$BB15)
+AQ$27*$Z$5*MAGNET(AQ$24+$BB15)
+AR$27*$Z$5*MAGNET(AR$24+$BB15)
+AS$27*$Z$5*MAGNET(AS$24+$BB15)
+AT$27*$Z$5*MAGNET(AT$24+$BB15)
+AU$27*$Z$5*MAGNET(AU$24+$BB15)
+AV$27*$Z$5*MAGNET(AV$24+$BB15)
+AW$27*$Z$5*MAGNET(AW$24+$BB15)
+AX$27*$Z$5*MAGNET(AX$24+$BB15)
+AY$27*$Z$5*MAGNET(AY$24+$BB15) +RAND()*$BE$13</f>
        <v>-59.338127258683258</v>
      </c>
      <c r="BF15" s="70">
        <f t="shared" ref="BF15:BF46" ca="1" si="7">E$28*$Z$5*MAGNET(E$24+$BB15)+F$28*$Z$5*MAGNET(F$24+$BB15)+G$28*$Z$5*MAGNET(G$24+$BB15)+H$28*$Z$5*MAGNET(H$24+$BB15)+I$28*$Z$5*MAGNET(I$24+$BB15)+J$28*$Z$5*MAGNET(J$24+$BB15)+K$28*$Z$5*MAGNET(K$24+$BB15)+L$28*$Z$5*MAGNET(L$24+$BB15)+M$28*$Z$5*MAGNET(M$24+$BB15)+N$28*$Z$5*MAGNET(N$24+$BB15)+O$28*$Z$5*MAGNET(O$24+$BB15)+P$28*$Z$5*MAGNET(P$24+$BB15)+Q$28*$Z$5*MAGNET(Q$24+$BB15)+R$28*$Z$5*MAGNET(R$24+$BB15)+S$28*$Z$5*MAGNET(S$24+$BB15)+T$28*$Z$5*MAGNET(T$24+$BB15)+U$28*$Z$5*MAGNET(U$24+$BB15)+V$28*$Z$5*MAGNET(V$24+$BB15)+W$28*$Z$5*MAGNET(W$24+$BB15)+X$28*$Z$5*MAGNET(X$24+$BB15)+Y$28*$Z$5*MAGNET(Y$24+$BB15)+Z$28*$Z$5*MAGNET(Z$24+$BB15)+AA$28*$Z$5*MAGNET(AA$24+$BB15)+AB$28*$Z$5*MAGNET(AB$24+$BB15)+AC$28*$Z$5*MAGNET(AC$24+$BB15)+AD$28*$Z$5*MAGNET(AD$24+$BB15)+AE$28*$Z$5*MAGNET(AE$24+$BB15)+AF$28*$Z$5*MAGNET(AF$24+$BB15)+AG$28*$Z$5*MAGNET(AG$24+$BB15)+D$28*$Z$5*MAGNET(D$24+$BB15)+AH$28*$Z$5*MAGNET(AH$24+BB15) +AI$28*$Z$5*MAGNET(AI$24+BB15) +AJ$28*$Z$5*MAGNET(AJ$24+BB15) +AK$28*$Z$5*MAGNET(AK$24+BB15) +AL$28*$Z$5*MAGNET(AL$24+BB15) +AM$28*$Z$5*MAGNET(AM$24+BB15) +AN$28*$Z$5*MAGNET(AN$24+BB15) +AO$28*$Z$5*MAGNET(AO$24+BB15) +AP$28*$Z$5*MAGNET(AP$24+$BB15)
+AQ$28*$Z$5*MAGNET(AQ$24+$BB15)
+AR$28*$Z$5*MAGNET(AR$24+$BB15)
+AS$28*$Z$5*MAGNET(AS$24+$BB15)
+AT$28*$Z$5*MAGNET(AT$24+$BB15)
+AU$28*$Z$5*MAGNET(AU$24+$BB15)
+AV$28*$Z$5*MAGNET(AV$24+$BB15)
+AW$28*$Z$5*MAGNET(AW$24+$BB15)
+AX$28*$Z$5*MAGNET(AX$24+$BB15)
+AY$28*$Z$5*MAGNET(AY$24+$BB15) +RAND()*$BF$13</f>
        <v>-7.5382635798886284</v>
      </c>
      <c r="BG15" s="70">
        <f t="shared" ref="BG15:BG46" ca="1" si="8">E$29*$Z$5*MAGNET(E$24+$BB15)+F$29*$Z$5*MAGNET(F$24+$BB15)+G$29*$Z$5*MAGNET(G$24+$BB15)+H$29*$Z$5*MAGNET(H$24+$BB15)+I$29*$Z$5*MAGNET(I$24+$BB15)+J$29*$Z$5*MAGNET(J$24+$BB15)+K$29*$Z$5*MAGNET(K$24+$BB15)+L$29*$Z$5*MAGNET(L$24+$BB15)+M$29*$Z$5*MAGNET(M$24+$BB15)+N$29*$Z$5*MAGNET(N$24+$BB15)+O$29*$Z$5*MAGNET(O$24+$BB15)+P$29*$Z$5*MAGNET(P$24+$BB15)+Q$29*$Z$5*MAGNET(Q$24+$BB15)+R$29*$Z$5*MAGNET(R$24+$BB15)+S$29*$Z$5*MAGNET(S$24+$BB15)+T$29*$Z$5*MAGNET(T$24+$BB15)+U$29*$Z$5*MAGNET(U$24+$BB15)+V$29*$Z$5*MAGNET(V$24+$BB15)+W$29*$Z$5*MAGNET(W$24+$BB15)+X$29*$Z$5*MAGNET(X$24+$BB15)+Y$29*$Z$5*MAGNET(Y$24+$BB15)+Z$29*$Z$5*MAGNET(Z$24+$BB15)+AA$29*$Z$5*MAGNET(AA$24+$BB15)+AB$29*$Z$5*MAGNET(AB$24+$BB15)+AC$29*$Z$5*MAGNET(AC$24+$BB15)+AD$29*$Z$5*MAGNET(AD$24+$BB15)+AE$29*$Z$5*MAGNET(AE$24+$BB15)+AF$29*$Z$5*MAGNET(AF$24+$BB15)+AG$29*$Z$5*MAGNET(AG$24+$BB15)+D$29*$Z$5*MAGNET(D$24+$BB15)+AH$29*$Z$5*MAGNET(AH$24+BB15) +AI$29*$Z$5*MAGNET(AI$24+BB15) +AJ$29*$Z$5*MAGNET(AJ$24+BB15) +AK$29*$Z$5*MAGNET(AK$24+BB15) +AL$29*$Z$5*MAGNET(AL$24+BB15) +AM$29*$Z$5*MAGNET(AM$24+BB15) +AN$29*$Z$5*MAGNET(AN$24+BB15) +AO$29*$Z$5*MAGNET(AO$24+BB15) +AP$29*$Z$5*MAGNET(AP$24+$BB15)
+AQ$29*$Z$5*MAGNET(AQ$24+$BB15)
+AR$29*$Z$5*MAGNET(AR$24+$BB15)
+AS$29*$Z$5*MAGNET(AS$24+$BB15)
+AT$29*$Z$5*MAGNET(AT$24+$BB15)
+AU$29*$Z$5*MAGNET(AU$24+$BB15)
+AV$29*$Z$5*MAGNET(AV$24+$BB15)
+AW$29*$Z$5*MAGNET(AW$24+$BB15)
+AX$29*$Z$5*MAGNET(AX$24+$BB15)
+AY$29*$Z$5*MAGNET(AY$24+$BB15) +RAND()*$BG$13</f>
        <v>29.583527829133178</v>
      </c>
      <c r="BH15" s="70">
        <f t="shared" ref="BH15:BH46" ca="1" si="9">E$30*$Z$5*MAGNET(E$24+$BB15)+F$30*$Z$5*MAGNET(F$24+$BB15)+G$30*$Z$5*MAGNET(G$24+$BB15)+H$30*$Z$5*MAGNET(H$24+$BB15)+I$30*$Z$5*MAGNET(I$24+$BB15)+J$30*$Z$5*MAGNET(J$24+$BB15)+K$30*$Z$5*MAGNET(K$24+$BB15)+L$30*$Z$5*MAGNET(L$24+$BB15)+M$30*$Z$5*MAGNET(M$24+$BB15)+N$30*$Z$5*MAGNET(N$24+$BB15)+O$30*$Z$5*MAGNET(O$24+$BB15)+P$30*$Z$5*MAGNET(P$24+$BB15)+Q$30*$Z$5*MAGNET(Q$24+$BB15)+R$30*$Z$5*MAGNET(R$24+$BB15)+S$30*$Z$5*MAGNET(S$24+$BB15)+T$30*$Z$5*MAGNET(T$24+$BB15)+U$30*$Z$5*MAGNET(U$24+$BB15)+V$30*$Z$5*MAGNET(V$24+$BB15)+W$30*$Z$5*MAGNET(W$24+$BB15)+X$30*$Z$5*MAGNET(X$24+$BB15)+Y$30*$Z$5*MAGNET(Y$24+$BB15)+Z$30*$Z$5*MAGNET(Z$24+$BB15)+AA$30*$Z$5*MAGNET(AA$24+$BB15)+AB$30*$Z$5*MAGNET(AB$24+$BB15)+AC$30*$Z$5*MAGNET(AC$24+$BB15)+AD$30*$Z$5*MAGNET(AD$24+$BB15)+AE$30*$Z$5*MAGNET(AE$24+$BB15)+AF$30*$Z$5*MAGNET(AF$24+$BB15)+AG$30*$Z$5*MAGNET(AG$24+$BB15)+D$30*$Z$5*MAGNET(D$24+$BB15)+AH$30*$Z$5*MAGNET(AH$24+BB15) +AI$30*$Z$5*MAGNET(AI$24+BB15) +AJ$30*$Z$5*MAGNET(AJ$24+BB15) +AK$30*$Z$5*MAGNET(AK$24+BB15) +AL$30*$Z$5*MAGNET(AL$24+BB15) +AM$30*$Z$5*MAGNET(AM$24+BB15) +AN$30*$Z$5*MAGNET(AN$24+BB15) +AO$30*$Z$5*MAGNET(AO$24+BB15) +AP$30*$Z$5*MAGNET(AP$24+$BB15)
+AQ$30*$Z$5*MAGNET(AQ$24+$BB15)
+AR$30*$Z$5*MAGNET(AR$24+$BB15)
+AS$30*$Z$5*MAGNET(AS$24+$BB15)
+AT$30*$Z$5*MAGNET(AT$24+$BB15)
+AU$30*$Z$5*MAGNET(AU$24+$BB15)
+AV$30*$Z$5*MAGNET(AV$24+$BB15)
+AW$30*$Z$5*MAGNET(AW$24+$BB15)
+AX$30*$Z$5*MAGNET(AX$24+$BB15)
+AY$30*$Z$5*MAGNET(AY$24+$BB15) +RAND()*$BH$13</f>
        <v>0</v>
      </c>
      <c r="BI15" s="70">
        <f t="shared" ref="BI15:BI46" ca="1" si="10">E$31*$Z$5*MAGNET(E$24+$BB15)+F$31*$Z$5*MAGNET(F$24+$BB15)+G$31*$Z$5*MAGNET(G$24+$BB15)+H$31*$Z$5*MAGNET(H$24+$BB15)+I$31*$Z$5*MAGNET(I$24+$BB15)+J$31*$Z$5*MAGNET(J$24+$BB15)+K$31*$Z$5*MAGNET(K$24+$BB15)+L$31*$Z$5*MAGNET(L$24+$BB15)+M$31*$Z$5*MAGNET(M$24+$BB15)+N$31*$Z$5*MAGNET(N$24+$BB15)+O$31*$Z$5*MAGNET(O$24+$BB15)+P$31*$Z$5*MAGNET(P$24+$BB15)+Q$31*$Z$5*MAGNET(Q$24+$BB15)+R$31*$Z$5*MAGNET(R$24+$BB15)+S$31*$Z$5*MAGNET(S$24+$BB15)+T$31*$Z$5*MAGNET(T$24+$BB15)+U$31*$Z$5*MAGNET(U$24+$BB15)+V$31*$Z$5*MAGNET(V$24+$BB15)+W$31*$Z$5*MAGNET(W$24+$BB15)+X$31*$Z$5*MAGNET(X$24+$BB15)+Y$31*$Z$5*MAGNET(Y$24+$BB15)+Z$31*$Z$5*MAGNET(Z$24+$BB15)+AA$31*$Z$5*MAGNET(AA$24+$BB15)+AB$31*$Z$5*MAGNET(AB$24+$BB15)+AC$31*$Z$5*MAGNET(AC$24+$BB15)+AD$31*$Z$5*MAGNET(AD$24+$BB15)+AE$31*$Z$5*MAGNET(AE$24+$BB15)+AF$31*$Z$5*MAGNET(AF$24+$BB15)+AG$31*$Z$5*MAGNET(AG$24+$BB15)+D$31*$Z$5*MAGNET(D$24+$BB15)+AH$31*$Z$5*MAGNET(AH$24+BB15) +AI$31*$Z$5*MAGNET(AI$24+BB15) +AJ$31*$Z$5*MAGNET(AJ$24+BB15) +AK$31*$Z$5*MAGNET(AK$24+BB15) +AL$31*$Z$5*MAGNET(AL$24+BB15) +AM$31*$Z$5*MAGNET(AM$24+BB15) +AN$31*$Z$5*MAGNET(AN$24+BB15) +AO$31*$Z$5*MAGNET(AO$24+BB15) +AP$31*$Z$5*MAGNET(AP$24+$BB15)
+AQ$31*$Z$5*MAGNET(AQ$24+$BB15)
+AR$31*$Z$5*MAGNET(AR$24+$BB15)
+AS$31*$Z$5*MAGNET(AS$24+$BB15)
+AT$31*$Z$5*MAGNET(AT$24+$BB15)
+AU$31*$Z$5*MAGNET(AU$24+$BB15)
+AV$31*$Z$5*MAGNET(AV$24+$BB15)
+AW$31*$Z$5*MAGNET(AW$24+$BB15)
+AX$31*$Z$5*MAGNET(AX$24+$BB15)
+AY$31*$Z$5*MAGNET(AY$24+$BB15) +RAND()*$BI$13</f>
        <v>0</v>
      </c>
      <c r="BJ15" s="70">
        <f t="shared" ref="BJ15:BJ46" ca="1" si="11">E$32*$Z$5*MAGNET(E$24+$BB15)+F$32*$Z$5*MAGNET(F$24+$BB15)+G$32*$Z$5*MAGNET(G$24+$BB15)+H$32*$Z$5*MAGNET(H$24+$BB15)+I$32*$Z$5*MAGNET(I$24+$BB15)+J$32*$Z$5*MAGNET(J$24+$BB15)+K$32*$Z$5*MAGNET(K$24+$BB15)+L$32*$Z$5*MAGNET(L$24+$BB15)+M$32*$Z$5*MAGNET(M$24+$BB15)+N$32*$Z$5*MAGNET(N$24+$BB15)+O$32*$Z$5*MAGNET(O$24+$BB15)+P$32*$Z$5*MAGNET(P$24+$BB15)+Q$32*$Z$5*MAGNET(Q$24+$BB15)+R$32*$Z$5*MAGNET(R$24+$BB15)+S$32*$Z$5*MAGNET(S$24+$BB15)+T$32*$Z$5*MAGNET(T$24+$BB15)+U$32*$Z$5*MAGNET(U$24+$BB15)+V$32*$Z$5*MAGNET(V$24+$BB15)+W$32*$Z$5*MAGNET(W$24+$BB15)+X$32*$Z$5*MAGNET(X$24+$BB15)+Y$32*$Z$5*MAGNET(Y$24+$BB15)+Z$32*$Z$5*MAGNET(Z$24+$BB15)+AA$32*$Z$5*MAGNET(AA$24+$BB15)+AB$32*$Z$5*MAGNET(AB$24+$BB15)+AC$32*$Z$5*MAGNET(AC$24+$BB15)+AD$32*$Z$5*MAGNET(AD$24+$BB15)+AE$32*$Z$5*MAGNET(AE$24+$BB15)+AF$32*$Z$5*MAGNET(AF$24+$BB15)+AG$32*$Z$5*MAGNET(AG$24+$BB15)+D$32*$Z$5*MAGNET(D$24+$BB15)+AH$32*$Z$5*MAGNET(AH$24+BB15) +AI$32*$Z$5*MAGNET(AI$24+BB15) +AJ$32*$Z$5*MAGNET(AJ$24+BB15) +AK$32*$Z$5*MAGNET(AK$24+BB15) +AL$32*$Z$5*MAGNET(AL$24+BB15) +AM$32*$Z$5*MAGNET(AM$24+BB15) +AN$32*$Z$5*MAGNET(AN$24+BB15) +AO$32*$Z$5*MAGNET(AO$24+BB15) +AP$32*$Z$5*MAGNET(AP$24+$BB15)
+AQ$32*$Z$5*MAGNET(AQ$24+$BB15)
+AR$32*$Z$5*MAGNET(AR$24+$BB15)
+AS$32*$Z$5*MAGNET(AS$24+$BB15)
+AT$32*$Z$5*MAGNET(AT$24+$BB15)
+AU$32*$Z$5*MAGNET(AU$24+$BB15)
+AV$32*$Z$5*MAGNET(AV$24+$BB15)
+AW$32*$Z$5*MAGNET(AW$24+$BB15)
+AX$32*$Z$5*MAGNET(AX$24+$BB15)
+AY$32*$Z$5*MAGNET(AY$24+$BB15) +RAND()*$BJ$13</f>
        <v>0</v>
      </c>
    </row>
    <row r="16" spans="2:62" x14ac:dyDescent="0.25">
      <c r="C16" s="22">
        <v>2</v>
      </c>
      <c r="D16" s="5">
        <f>Lind!D11</f>
        <v>1</v>
      </c>
      <c r="E16" s="2">
        <f>Lind!E11</f>
        <v>1</v>
      </c>
      <c r="F16" s="2">
        <f>Lind!F11</f>
        <v>1</v>
      </c>
      <c r="G16" s="2">
        <f>Lind!G11</f>
        <v>-3</v>
      </c>
      <c r="H16" s="2">
        <f>Lind!H11</f>
        <v>-3</v>
      </c>
      <c r="I16" s="2">
        <f>Lind!I11</f>
        <v>2</v>
      </c>
      <c r="J16" s="2">
        <f>Lind!J11</f>
        <v>2</v>
      </c>
      <c r="K16" s="2">
        <f>Lind!K11</f>
        <v>2</v>
      </c>
      <c r="L16" s="2">
        <f>Lind!L11</f>
        <v>-1</v>
      </c>
      <c r="M16" s="2">
        <f>Lind!M11</f>
        <v>-1</v>
      </c>
      <c r="N16" s="2">
        <f>Lind!N11</f>
        <v>3</v>
      </c>
      <c r="O16" s="2">
        <f>Lind!O11</f>
        <v>3</v>
      </c>
      <c r="P16" s="2">
        <f>Lind!P11</f>
        <v>3</v>
      </c>
      <c r="Q16" s="2">
        <f>Lind!Q11</f>
        <v>-2</v>
      </c>
      <c r="R16" s="2">
        <f>Lind!R11</f>
        <v>-2</v>
      </c>
      <c r="S16" s="5">
        <f>Lind!S11</f>
        <v>1</v>
      </c>
      <c r="T16" s="2">
        <f>Lind!T11</f>
        <v>1</v>
      </c>
      <c r="U16" s="2">
        <f>Lind!U11</f>
        <v>1</v>
      </c>
      <c r="V16" s="2">
        <f>Lind!V11</f>
        <v>-3</v>
      </c>
      <c r="W16" s="2">
        <f>Lind!W11</f>
        <v>-3</v>
      </c>
      <c r="X16" s="2">
        <f>Lind!X11</f>
        <v>5</v>
      </c>
      <c r="Y16" s="2">
        <f>Lind!Y11</f>
        <v>5</v>
      </c>
      <c r="Z16" s="2">
        <f>Lind!Z11</f>
        <v>2</v>
      </c>
      <c r="AA16" s="2">
        <f>Lind!AA11</f>
        <v>-1</v>
      </c>
      <c r="AB16" s="2">
        <f>Lind!AB11</f>
        <v>-1</v>
      </c>
      <c r="AC16" s="2">
        <f>Lind!AC11</f>
        <v>3</v>
      </c>
      <c r="AD16" s="2">
        <f>Lind!AD11</f>
        <v>3</v>
      </c>
      <c r="AE16" s="2">
        <f>Lind!AE11</f>
        <v>3</v>
      </c>
      <c r="AF16" s="2">
        <f>Lind!AF11</f>
        <v>-5</v>
      </c>
      <c r="AG16" s="32">
        <f>Lind!AG11</f>
        <v>-5</v>
      </c>
      <c r="AH16" s="2">
        <f>Lind!AH11</f>
        <v>3</v>
      </c>
      <c r="AI16" s="2">
        <f>Lind!AI11</f>
        <v>3</v>
      </c>
      <c r="AJ16" s="2">
        <f>Lind!AJ11</f>
        <v>4</v>
      </c>
      <c r="AK16" s="2">
        <f>Lind!AK11</f>
        <v>-2</v>
      </c>
      <c r="AL16" s="2">
        <f>Lind!AL11</f>
        <v>-2</v>
      </c>
      <c r="AM16" s="2">
        <f>Lind!AM11</f>
        <v>1</v>
      </c>
      <c r="AN16" s="2">
        <f>Lind!AN11</f>
        <v>-4</v>
      </c>
      <c r="AO16" s="2">
        <f>Lind!AO11</f>
        <v>1</v>
      </c>
      <c r="AP16" s="2">
        <f>Lind!AP11</f>
        <v>0</v>
      </c>
      <c r="AQ16" s="32">
        <f>Lind!AQ11</f>
        <v>0</v>
      </c>
      <c r="AR16" s="2">
        <f>Lind!AR11</f>
        <v>0</v>
      </c>
      <c r="AS16" s="2">
        <f>Lind!AS11</f>
        <v>0</v>
      </c>
      <c r="AT16" s="2">
        <f>Lind!AT11</f>
        <v>0</v>
      </c>
      <c r="AU16" s="2">
        <f>Lind!AU11</f>
        <v>0</v>
      </c>
      <c r="AV16" s="2">
        <f>Lind!AV11</f>
        <v>0</v>
      </c>
      <c r="AW16" s="2">
        <f>Lind!AW11</f>
        <v>0</v>
      </c>
      <c r="AX16" s="2">
        <f>Lind!AX11</f>
        <v>0</v>
      </c>
      <c r="AY16" s="2">
        <f>Lind!AY11</f>
        <v>0</v>
      </c>
      <c r="BA16">
        <f>BA15+0.002</f>
        <v>2E-3</v>
      </c>
      <c r="BB16" s="48">
        <f t="shared" ref="BB16:BB79" si="12">BA16*$D$6</f>
        <v>0.10053096491487339</v>
      </c>
      <c r="BC16" s="69">
        <f t="shared" ca="1" si="4"/>
        <v>-35.006580546422896</v>
      </c>
      <c r="BD16" s="69">
        <f t="shared" ca="1" si="5"/>
        <v>91.143135260777299</v>
      </c>
      <c r="BE16" s="70">
        <f t="shared" ca="1" si="6"/>
        <v>-70.743118243994857</v>
      </c>
      <c r="BF16" s="70">
        <f t="shared" ca="1" si="7"/>
        <v>-8.122254763337839</v>
      </c>
      <c r="BG16" s="70">
        <f t="shared" ca="1" si="8"/>
        <v>34.299182898711138</v>
      </c>
      <c r="BH16" s="70">
        <f t="shared" ca="1" si="9"/>
        <v>0</v>
      </c>
      <c r="BI16" s="70">
        <f t="shared" ca="1" si="10"/>
        <v>0</v>
      </c>
      <c r="BJ16" s="70">
        <f t="shared" ca="1" si="11"/>
        <v>0</v>
      </c>
    </row>
    <row r="17" spans="2:62" x14ac:dyDescent="0.25">
      <c r="C17" s="22">
        <v>3</v>
      </c>
      <c r="D17" s="7">
        <f>Lind!D12</f>
        <v>1</v>
      </c>
      <c r="E17" s="8">
        <f>Lind!E12</f>
        <v>1</v>
      </c>
      <c r="F17" s="8">
        <f>Lind!F12</f>
        <v>-3</v>
      </c>
      <c r="G17" s="8">
        <f>Lind!G12</f>
        <v>-3</v>
      </c>
      <c r="H17" s="8">
        <f>Lind!H12</f>
        <v>-3</v>
      </c>
      <c r="I17" s="8">
        <f>Lind!I12</f>
        <v>2</v>
      </c>
      <c r="J17" s="8">
        <f>Lind!J12</f>
        <v>2</v>
      </c>
      <c r="K17" s="8">
        <f>Lind!K12</f>
        <v>-1</v>
      </c>
      <c r="L17" s="8">
        <f>Lind!L12</f>
        <v>-1</v>
      </c>
      <c r="M17" s="8">
        <f>Lind!M12</f>
        <v>-1</v>
      </c>
      <c r="N17" s="8">
        <f>Lind!N12</f>
        <v>3</v>
      </c>
      <c r="O17" s="8">
        <f>Lind!O12</f>
        <v>3</v>
      </c>
      <c r="P17" s="8">
        <f>Lind!P12</f>
        <v>-2</v>
      </c>
      <c r="Q17" s="8">
        <f>Lind!Q12</f>
        <v>-2</v>
      </c>
      <c r="R17" s="8">
        <f>Lind!R12</f>
        <v>-2</v>
      </c>
      <c r="S17" s="7">
        <f>Lind!S12</f>
        <v>1</v>
      </c>
      <c r="T17" s="8">
        <f>Lind!T12</f>
        <v>1</v>
      </c>
      <c r="U17" s="8">
        <f>Lind!U12</f>
        <v>-3</v>
      </c>
      <c r="V17" s="8">
        <f>Lind!V12</f>
        <v>-3</v>
      </c>
      <c r="W17" s="8">
        <f>Lind!W12</f>
        <v>-3</v>
      </c>
      <c r="X17" s="8">
        <f>Lind!X12</f>
        <v>5</v>
      </c>
      <c r="Y17" s="8">
        <f>Lind!Y12</f>
        <v>5</v>
      </c>
      <c r="Z17" s="8">
        <f>Lind!Z12</f>
        <v>-1</v>
      </c>
      <c r="AA17" s="8">
        <f>Lind!AA12</f>
        <v>-1</v>
      </c>
      <c r="AB17" s="8">
        <f>Lind!AB12</f>
        <v>-1</v>
      </c>
      <c r="AC17" s="8">
        <f>Lind!AC12</f>
        <v>3</v>
      </c>
      <c r="AD17" s="8">
        <f>Lind!AD12</f>
        <v>3</v>
      </c>
      <c r="AE17" s="8">
        <f>Lind!AE12</f>
        <v>-2</v>
      </c>
      <c r="AF17" s="8">
        <f>Lind!AF12</f>
        <v>-5</v>
      </c>
      <c r="AG17" s="33">
        <f>Lind!AG12</f>
        <v>-5</v>
      </c>
      <c r="AH17" s="8">
        <f>Lind!AH12</f>
        <v>3</v>
      </c>
      <c r="AI17" s="8">
        <f>Lind!AI12</f>
        <v>3</v>
      </c>
      <c r="AJ17" s="8">
        <f>Lind!AJ12</f>
        <v>4</v>
      </c>
      <c r="AK17" s="8">
        <f>Lind!AK12</f>
        <v>-2</v>
      </c>
      <c r="AL17" s="8">
        <f>Lind!AL12</f>
        <v>-2</v>
      </c>
      <c r="AM17" s="8">
        <f>Lind!AM12</f>
        <v>1</v>
      </c>
      <c r="AN17" s="8">
        <f>Lind!AN12</f>
        <v>-4</v>
      </c>
      <c r="AO17" s="8">
        <f>Lind!AO12</f>
        <v>-3</v>
      </c>
      <c r="AP17" s="8">
        <f>Lind!AP12</f>
        <v>0</v>
      </c>
      <c r="AQ17" s="33">
        <f>Lind!AQ12</f>
        <v>0</v>
      </c>
      <c r="AR17" s="8">
        <f>Lind!AR12</f>
        <v>0</v>
      </c>
      <c r="AS17" s="8">
        <f>Lind!AS12</f>
        <v>0</v>
      </c>
      <c r="AT17" s="8">
        <f>Lind!AT12</f>
        <v>0</v>
      </c>
      <c r="AU17" s="8">
        <f>Lind!AU12</f>
        <v>0</v>
      </c>
      <c r="AV17" s="8">
        <f>Lind!AV12</f>
        <v>0</v>
      </c>
      <c r="AW17" s="8">
        <f>Lind!AW12</f>
        <v>0</v>
      </c>
      <c r="AX17" s="8">
        <f>Lind!AX12</f>
        <v>0</v>
      </c>
      <c r="AY17" s="8">
        <f>Lind!AY12</f>
        <v>0</v>
      </c>
      <c r="BA17">
        <f t="shared" ref="BA17:BA80" si="13">BA16+0.002</f>
        <v>4.0000000000000001E-3</v>
      </c>
      <c r="BB17" s="48">
        <f t="shared" si="12"/>
        <v>0.20106192982974677</v>
      </c>
      <c r="BC17" s="69">
        <f t="shared" ca="1" si="4"/>
        <v>-20.153904788820803</v>
      </c>
      <c r="BD17" s="69">
        <f t="shared" ca="1" si="5"/>
        <v>86.21190668700649</v>
      </c>
      <c r="BE17" s="70">
        <f t="shared" ca="1" si="6"/>
        <v>-79.625800358618989</v>
      </c>
      <c r="BF17" s="70">
        <f t="shared" ca="1" si="7"/>
        <v>-10.642837671633396</v>
      </c>
      <c r="BG17" s="70">
        <f t="shared" ca="1" si="8"/>
        <v>37.66617995055708</v>
      </c>
      <c r="BH17" s="70">
        <f t="shared" ca="1" si="9"/>
        <v>0</v>
      </c>
      <c r="BI17" s="70">
        <f t="shared" ca="1" si="10"/>
        <v>0</v>
      </c>
      <c r="BJ17" s="70">
        <f t="shared" ca="1" si="11"/>
        <v>0</v>
      </c>
    </row>
    <row r="18" spans="2:62" x14ac:dyDescent="0.25">
      <c r="C18" s="22">
        <v>4</v>
      </c>
      <c r="D18" s="5">
        <f>Lind!D13</f>
        <v>1</v>
      </c>
      <c r="E18" s="2">
        <f>Lind!E13</f>
        <v>1</v>
      </c>
      <c r="F18" s="2">
        <f>Lind!F13</f>
        <v>-3</v>
      </c>
      <c r="G18" s="2">
        <f>Lind!G13</f>
        <v>-3</v>
      </c>
      <c r="H18" s="2">
        <f>Lind!H13</f>
        <v>-3</v>
      </c>
      <c r="I18" s="2">
        <f>Lind!I13</f>
        <v>2</v>
      </c>
      <c r="J18" s="2">
        <f>Lind!J13</f>
        <v>2</v>
      </c>
      <c r="K18" s="2">
        <f>Lind!K13</f>
        <v>-1</v>
      </c>
      <c r="L18" s="2">
        <f>Lind!L13</f>
        <v>-1</v>
      </c>
      <c r="M18" s="2">
        <f>Lind!M13</f>
        <v>-1</v>
      </c>
      <c r="N18" s="2">
        <f>Lind!N13</f>
        <v>3</v>
      </c>
      <c r="O18" s="2">
        <f>Lind!O13</f>
        <v>3</v>
      </c>
      <c r="P18" s="2">
        <f>Lind!P13</f>
        <v>-2</v>
      </c>
      <c r="Q18" s="2">
        <f>Lind!Q13</f>
        <v>-2</v>
      </c>
      <c r="R18" s="2">
        <f>Lind!R13</f>
        <v>-2</v>
      </c>
      <c r="S18" s="5">
        <f>Lind!S13</f>
        <v>1</v>
      </c>
      <c r="T18" s="2">
        <f>Lind!T13</f>
        <v>1</v>
      </c>
      <c r="U18" s="2">
        <f>Lind!U13</f>
        <v>-3</v>
      </c>
      <c r="V18" s="2">
        <f>Lind!V13</f>
        <v>-3</v>
      </c>
      <c r="W18" s="2">
        <f>Lind!W13</f>
        <v>-3</v>
      </c>
      <c r="X18" s="2">
        <f>Lind!X13</f>
        <v>5</v>
      </c>
      <c r="Y18" s="2">
        <f>Lind!Y13</f>
        <v>5</v>
      </c>
      <c r="Z18" s="2">
        <f>Lind!Z13</f>
        <v>-1</v>
      </c>
      <c r="AA18" s="2">
        <f>Lind!AA13</f>
        <v>-1</v>
      </c>
      <c r="AB18" s="2">
        <f>Lind!AB13</f>
        <v>-1</v>
      </c>
      <c r="AC18" s="2">
        <f>Lind!AC13</f>
        <v>3</v>
      </c>
      <c r="AD18" s="2">
        <f>Lind!AD13</f>
        <v>3</v>
      </c>
      <c r="AE18" s="2">
        <f>Lind!AE13</f>
        <v>-2</v>
      </c>
      <c r="AF18" s="2">
        <f>Lind!AF13</f>
        <v>-5</v>
      </c>
      <c r="AG18" s="32">
        <f>Lind!AG13</f>
        <v>-5</v>
      </c>
      <c r="AH18" s="2">
        <f>Lind!AH13</f>
        <v>3</v>
      </c>
      <c r="AI18" s="2">
        <f>Lind!AI13</f>
        <v>3</v>
      </c>
      <c r="AJ18" s="2">
        <f>Lind!AJ13</f>
        <v>4</v>
      </c>
      <c r="AK18" s="2">
        <f>Lind!AK13</f>
        <v>-2</v>
      </c>
      <c r="AL18" s="2">
        <f>Lind!AL13</f>
        <v>-2</v>
      </c>
      <c r="AM18" s="2">
        <f>Lind!AM13</f>
        <v>1</v>
      </c>
      <c r="AN18" s="2">
        <f>Lind!AN13</f>
        <v>-4</v>
      </c>
      <c r="AO18" s="2">
        <f>Lind!AO13</f>
        <v>-3</v>
      </c>
      <c r="AP18" s="2">
        <f>Lind!AP13</f>
        <v>0</v>
      </c>
      <c r="AQ18" s="32">
        <f>Lind!AQ13</f>
        <v>0</v>
      </c>
      <c r="AR18" s="2">
        <f>Lind!AR13</f>
        <v>0</v>
      </c>
      <c r="AS18" s="2">
        <f>Lind!AS13</f>
        <v>0</v>
      </c>
      <c r="AT18" s="2">
        <f>Lind!AT13</f>
        <v>0</v>
      </c>
      <c r="AU18" s="2">
        <f>Lind!AU13</f>
        <v>0</v>
      </c>
      <c r="AV18" s="2">
        <f>Lind!AV13</f>
        <v>0</v>
      </c>
      <c r="AW18" s="2">
        <f>Lind!AW13</f>
        <v>0</v>
      </c>
      <c r="AX18" s="2">
        <f>Lind!AX13</f>
        <v>0</v>
      </c>
      <c r="AY18" s="2">
        <f>Lind!AY13</f>
        <v>0</v>
      </c>
      <c r="BA18">
        <f t="shared" si="13"/>
        <v>6.0000000000000001E-3</v>
      </c>
      <c r="BB18" s="48">
        <f t="shared" si="12"/>
        <v>0.30159289474462014</v>
      </c>
      <c r="BC18" s="69">
        <f t="shared" ca="1" si="4"/>
        <v>-9.5482617321036614</v>
      </c>
      <c r="BD18" s="69">
        <f t="shared" ca="1" si="5"/>
        <v>86.933204152517007</v>
      </c>
      <c r="BE18" s="70">
        <f t="shared" ca="1" si="6"/>
        <v>-83.288013473914276</v>
      </c>
      <c r="BF18" s="70">
        <f t="shared" ca="1" si="7"/>
        <v>-11.474219309713545</v>
      </c>
      <c r="BG18" s="70">
        <f t="shared" ca="1" si="8"/>
        <v>41.437526842128733</v>
      </c>
      <c r="BH18" s="70">
        <f t="shared" ca="1" si="9"/>
        <v>0</v>
      </c>
      <c r="BI18" s="70">
        <f t="shared" ca="1" si="10"/>
        <v>0</v>
      </c>
      <c r="BJ18" s="70">
        <f t="shared" ca="1" si="11"/>
        <v>0</v>
      </c>
    </row>
    <row r="19" spans="2:62" x14ac:dyDescent="0.25">
      <c r="C19" s="22">
        <v>5</v>
      </c>
      <c r="D19" s="7">
        <f>Lind!D14</f>
        <v>0</v>
      </c>
      <c r="E19" s="8">
        <f>Lind!E14</f>
        <v>0</v>
      </c>
      <c r="F19" s="8">
        <f>Lind!F14</f>
        <v>0</v>
      </c>
      <c r="G19" s="8">
        <f>Lind!G14</f>
        <v>0</v>
      </c>
      <c r="H19" s="8">
        <f>Lind!H14</f>
        <v>0</v>
      </c>
      <c r="I19" s="8">
        <f>Lind!I14</f>
        <v>0</v>
      </c>
      <c r="J19" s="8">
        <f>Lind!J14</f>
        <v>0</v>
      </c>
      <c r="K19" s="8">
        <f>Lind!K14</f>
        <v>0</v>
      </c>
      <c r="L19" s="8">
        <f>Lind!L14</f>
        <v>0</v>
      </c>
      <c r="M19" s="8">
        <f>Lind!M14</f>
        <v>0</v>
      </c>
      <c r="N19" s="8">
        <f>Lind!N14</f>
        <v>0</v>
      </c>
      <c r="O19" s="8">
        <f>Lind!O14</f>
        <v>0</v>
      </c>
      <c r="P19" s="8">
        <f>Lind!P14</f>
        <v>0</v>
      </c>
      <c r="Q19" s="8">
        <f>Lind!Q14</f>
        <v>0</v>
      </c>
      <c r="R19" s="8">
        <f>Lind!R14</f>
        <v>0</v>
      </c>
      <c r="S19" s="8">
        <f>Lind!S14</f>
        <v>0</v>
      </c>
      <c r="T19" s="8">
        <f>Lind!T14</f>
        <v>0</v>
      </c>
      <c r="U19" s="8">
        <f>Lind!U14</f>
        <v>0</v>
      </c>
      <c r="V19" s="8">
        <f>Lind!V14</f>
        <v>0</v>
      </c>
      <c r="W19" s="8">
        <f>Lind!W14</f>
        <v>0</v>
      </c>
      <c r="X19" s="8">
        <f>Lind!X14</f>
        <v>0</v>
      </c>
      <c r="Y19" s="8">
        <f>Lind!Y14</f>
        <v>0</v>
      </c>
      <c r="Z19" s="8">
        <f>Lind!Z14</f>
        <v>0</v>
      </c>
      <c r="AA19" s="8">
        <f>Lind!AA14</f>
        <v>0</v>
      </c>
      <c r="AB19" s="8">
        <f>Lind!AB14</f>
        <v>0</v>
      </c>
      <c r="AC19" s="8">
        <f>Lind!AC14</f>
        <v>0</v>
      </c>
      <c r="AD19" s="8">
        <f>Lind!AD14</f>
        <v>0</v>
      </c>
      <c r="AE19" s="8">
        <f>Lind!AE14</f>
        <v>0</v>
      </c>
      <c r="AF19" s="8">
        <f>Lind!AF14</f>
        <v>0</v>
      </c>
      <c r="AG19" s="9">
        <f>Lind!AG14</f>
        <v>0</v>
      </c>
      <c r="AH19" s="8">
        <f>Lind!AH14</f>
        <v>0</v>
      </c>
      <c r="AI19" s="8">
        <f>Lind!AI14</f>
        <v>0</v>
      </c>
      <c r="AJ19" s="8">
        <f>Lind!AJ14</f>
        <v>0</v>
      </c>
      <c r="AK19" s="8">
        <f>Lind!AK14</f>
        <v>0</v>
      </c>
      <c r="AL19" s="8">
        <f>Lind!AL14</f>
        <v>0</v>
      </c>
      <c r="AM19" s="8">
        <f>Lind!AM14</f>
        <v>0</v>
      </c>
      <c r="AN19" s="8">
        <f>Lind!AN14</f>
        <v>0</v>
      </c>
      <c r="AO19" s="8">
        <f>Lind!AO14</f>
        <v>0</v>
      </c>
      <c r="AP19" s="8">
        <f>Lind!AP14</f>
        <v>0</v>
      </c>
      <c r="AQ19" s="9">
        <f>Lind!AQ14</f>
        <v>0</v>
      </c>
      <c r="AR19" s="8">
        <f>Lind!AR14</f>
        <v>0</v>
      </c>
      <c r="AS19" s="8">
        <f>Lind!AS14</f>
        <v>0</v>
      </c>
      <c r="AT19" s="8">
        <f>Lind!AT14</f>
        <v>0</v>
      </c>
      <c r="AU19" s="8">
        <f>Lind!AU14</f>
        <v>0</v>
      </c>
      <c r="AV19" s="8">
        <f>Lind!AV14</f>
        <v>0</v>
      </c>
      <c r="AW19" s="8">
        <f>Lind!AW14</f>
        <v>0</v>
      </c>
      <c r="AX19" s="8">
        <f>Lind!AX14</f>
        <v>0</v>
      </c>
      <c r="AY19" s="8">
        <f>Lind!AY14</f>
        <v>0</v>
      </c>
      <c r="BA19">
        <f t="shared" si="13"/>
        <v>8.0000000000000002E-3</v>
      </c>
      <c r="BB19" s="48">
        <f t="shared" si="12"/>
        <v>0.40212385965949354</v>
      </c>
      <c r="BC19" s="69">
        <f t="shared" ca="1" si="4"/>
        <v>-0.82421610638546305</v>
      </c>
      <c r="BD19" s="69">
        <f t="shared" ca="1" si="5"/>
        <v>80.191998835210143</v>
      </c>
      <c r="BE19" s="70">
        <f t="shared" ca="1" si="6"/>
        <v>-96.663098871779738</v>
      </c>
      <c r="BF19" s="70">
        <f t="shared" ca="1" si="7"/>
        <v>-12.13738012055931</v>
      </c>
      <c r="BG19" s="70">
        <f t="shared" ca="1" si="8"/>
        <v>42.568980768005339</v>
      </c>
      <c r="BH19" s="70">
        <f t="shared" ca="1" si="9"/>
        <v>0</v>
      </c>
      <c r="BI19" s="70">
        <f t="shared" ca="1" si="10"/>
        <v>0</v>
      </c>
      <c r="BJ19" s="70">
        <f t="shared" ca="1" si="11"/>
        <v>0</v>
      </c>
    </row>
    <row r="20" spans="2:62" x14ac:dyDescent="0.25">
      <c r="C20" s="22">
        <v>6</v>
      </c>
      <c r="D20" s="5">
        <f>Lind!D15</f>
        <v>0</v>
      </c>
      <c r="E20" s="2">
        <f>Lind!E15</f>
        <v>0</v>
      </c>
      <c r="F20" s="2">
        <f>Lind!F15</f>
        <v>0</v>
      </c>
      <c r="G20" s="2">
        <f>Lind!G15</f>
        <v>0</v>
      </c>
      <c r="H20" s="2">
        <f>Lind!H15</f>
        <v>0</v>
      </c>
      <c r="I20" s="2">
        <f>Lind!I15</f>
        <v>0</v>
      </c>
      <c r="J20" s="2">
        <f>Lind!J15</f>
        <v>0</v>
      </c>
      <c r="K20" s="2">
        <f>Lind!K15</f>
        <v>0</v>
      </c>
      <c r="L20" s="2">
        <f>Lind!L15</f>
        <v>0</v>
      </c>
      <c r="M20" s="2">
        <f>Lind!M15</f>
        <v>0</v>
      </c>
      <c r="N20" s="2">
        <f>Lind!N15</f>
        <v>0</v>
      </c>
      <c r="O20" s="2">
        <f>Lind!O15</f>
        <v>0</v>
      </c>
      <c r="P20" s="2">
        <f>Lind!P15</f>
        <v>0</v>
      </c>
      <c r="Q20" s="2">
        <f>Lind!Q15</f>
        <v>0</v>
      </c>
      <c r="R20" s="2">
        <f>Lind!R15</f>
        <v>0</v>
      </c>
      <c r="S20" s="2">
        <f>Lind!S15</f>
        <v>0</v>
      </c>
      <c r="T20" s="2">
        <f>Lind!T15</f>
        <v>0</v>
      </c>
      <c r="U20" s="2">
        <f>Lind!U15</f>
        <v>0</v>
      </c>
      <c r="V20" s="2">
        <f>Lind!V15</f>
        <v>0</v>
      </c>
      <c r="W20" s="2">
        <f>Lind!W15</f>
        <v>0</v>
      </c>
      <c r="X20" s="2">
        <f>Lind!X15</f>
        <v>0</v>
      </c>
      <c r="Y20" s="2">
        <f>Lind!Y15</f>
        <v>0</v>
      </c>
      <c r="Z20" s="2">
        <f>Lind!Z15</f>
        <v>0</v>
      </c>
      <c r="AA20" s="2">
        <f>Lind!AA15</f>
        <v>0</v>
      </c>
      <c r="AB20" s="2">
        <f>Lind!AB15</f>
        <v>0</v>
      </c>
      <c r="AC20" s="2">
        <f>Lind!AC15</f>
        <v>0</v>
      </c>
      <c r="AD20" s="2">
        <f>Lind!AD15</f>
        <v>0</v>
      </c>
      <c r="AE20" s="2">
        <f>Lind!AE15</f>
        <v>0</v>
      </c>
      <c r="AF20" s="2">
        <f>Lind!AF15</f>
        <v>0</v>
      </c>
      <c r="AG20" s="6">
        <f>Lind!AG15</f>
        <v>0</v>
      </c>
      <c r="AH20" s="2">
        <f>Lind!AH15</f>
        <v>0</v>
      </c>
      <c r="AI20" s="2">
        <f>Lind!AI15</f>
        <v>0</v>
      </c>
      <c r="AJ20" s="2">
        <f>Lind!AJ15</f>
        <v>0</v>
      </c>
      <c r="AK20" s="2">
        <f>Lind!AK15</f>
        <v>0</v>
      </c>
      <c r="AL20" s="2">
        <f>Lind!AL15</f>
        <v>0</v>
      </c>
      <c r="AM20" s="2">
        <f>Lind!AM15</f>
        <v>0</v>
      </c>
      <c r="AN20" s="2">
        <f>Lind!AN15</f>
        <v>0</v>
      </c>
      <c r="AO20" s="2">
        <f>Lind!AO15</f>
        <v>0</v>
      </c>
      <c r="AP20" s="2">
        <f>Lind!AP15</f>
        <v>0</v>
      </c>
      <c r="AQ20" s="6">
        <f>Lind!AQ15</f>
        <v>0</v>
      </c>
      <c r="AR20" s="2">
        <f>Lind!AR15</f>
        <v>0</v>
      </c>
      <c r="AS20" s="2">
        <f>Lind!AS15</f>
        <v>0</v>
      </c>
      <c r="AT20" s="2">
        <f>Lind!AT15</f>
        <v>0</v>
      </c>
      <c r="AU20" s="2">
        <f>Lind!AU15</f>
        <v>0</v>
      </c>
      <c r="AV20" s="2">
        <f>Lind!AV15</f>
        <v>0</v>
      </c>
      <c r="AW20" s="2">
        <f>Lind!AW15</f>
        <v>0</v>
      </c>
      <c r="AX20" s="2">
        <f>Lind!AX15</f>
        <v>0</v>
      </c>
      <c r="AY20" s="2">
        <f>Lind!AY15</f>
        <v>0</v>
      </c>
      <c r="BA20">
        <f t="shared" si="13"/>
        <v>0.01</v>
      </c>
      <c r="BB20" s="48">
        <f t="shared" si="12"/>
        <v>0.50265482457436694</v>
      </c>
      <c r="BC20" s="69">
        <f t="shared" ca="1" si="4"/>
        <v>16.813520854228976</v>
      </c>
      <c r="BD20" s="69">
        <f t="shared" ca="1" si="5"/>
        <v>74.892507029554736</v>
      </c>
      <c r="BE20" s="70">
        <f t="shared" ca="1" si="6"/>
        <v>-103.75886485301557</v>
      </c>
      <c r="BF20" s="70">
        <f t="shared" ca="1" si="7"/>
        <v>-14.464283133744102</v>
      </c>
      <c r="BG20" s="70">
        <f t="shared" ca="1" si="8"/>
        <v>44.942222080536489</v>
      </c>
      <c r="BH20" s="70">
        <f t="shared" ca="1" si="9"/>
        <v>0</v>
      </c>
      <c r="BI20" s="70">
        <f t="shared" ca="1" si="10"/>
        <v>0</v>
      </c>
      <c r="BJ20" s="70">
        <f t="shared" ca="1" si="11"/>
        <v>0</v>
      </c>
    </row>
    <row r="21" spans="2:62" x14ac:dyDescent="0.25">
      <c r="C21" s="22">
        <v>7</v>
      </c>
      <c r="D21" s="7">
        <f>Lind!D16</f>
        <v>0</v>
      </c>
      <c r="E21" s="8">
        <f>Lind!E16</f>
        <v>0</v>
      </c>
      <c r="F21" s="8">
        <f>Lind!F16</f>
        <v>0</v>
      </c>
      <c r="G21" s="8">
        <f>Lind!G16</f>
        <v>0</v>
      </c>
      <c r="H21" s="8">
        <f>Lind!H16</f>
        <v>0</v>
      </c>
      <c r="I21" s="8">
        <f>Lind!I16</f>
        <v>0</v>
      </c>
      <c r="J21" s="8">
        <f>Lind!J16</f>
        <v>0</v>
      </c>
      <c r="K21" s="8">
        <f>Lind!K16</f>
        <v>0</v>
      </c>
      <c r="L21" s="8">
        <f>Lind!L16</f>
        <v>0</v>
      </c>
      <c r="M21" s="8">
        <f>Lind!M16</f>
        <v>0</v>
      </c>
      <c r="N21" s="8">
        <f>Lind!N16</f>
        <v>0</v>
      </c>
      <c r="O21" s="8">
        <f>Lind!O16</f>
        <v>0</v>
      </c>
      <c r="P21" s="8">
        <f>Lind!P16</f>
        <v>0</v>
      </c>
      <c r="Q21" s="8">
        <f>Lind!Q16</f>
        <v>0</v>
      </c>
      <c r="R21" s="8">
        <f>Lind!R16</f>
        <v>0</v>
      </c>
      <c r="S21" s="8">
        <f>Lind!S16</f>
        <v>0</v>
      </c>
      <c r="T21" s="8">
        <f>Lind!T16</f>
        <v>0</v>
      </c>
      <c r="U21" s="8">
        <f>Lind!U16</f>
        <v>0</v>
      </c>
      <c r="V21" s="8">
        <f>Lind!V16</f>
        <v>0</v>
      </c>
      <c r="W21" s="8">
        <f>Lind!W16</f>
        <v>0</v>
      </c>
      <c r="X21" s="8">
        <f>Lind!X16</f>
        <v>0</v>
      </c>
      <c r="Y21" s="8">
        <f>Lind!Y16</f>
        <v>0</v>
      </c>
      <c r="Z21" s="8">
        <f>Lind!Z16</f>
        <v>0</v>
      </c>
      <c r="AA21" s="8">
        <f>Lind!AA16</f>
        <v>0</v>
      </c>
      <c r="AB21" s="8">
        <f>Lind!AB16</f>
        <v>0</v>
      </c>
      <c r="AC21" s="8">
        <f>Lind!AC16</f>
        <v>0</v>
      </c>
      <c r="AD21" s="8">
        <f>Lind!AD16</f>
        <v>0</v>
      </c>
      <c r="AE21" s="8">
        <f>Lind!AE16</f>
        <v>0</v>
      </c>
      <c r="AF21" s="8">
        <f>Lind!AF16</f>
        <v>0</v>
      </c>
      <c r="AG21" s="9">
        <f>Lind!AG16</f>
        <v>0</v>
      </c>
      <c r="AH21" s="8">
        <f>Lind!AH16</f>
        <v>0</v>
      </c>
      <c r="AI21" s="8">
        <f>Lind!AI16</f>
        <v>0</v>
      </c>
      <c r="AJ21" s="8">
        <f>Lind!AJ16</f>
        <v>0</v>
      </c>
      <c r="AK21" s="8">
        <f>Lind!AK16</f>
        <v>0</v>
      </c>
      <c r="AL21" s="8">
        <f>Lind!AL16</f>
        <v>0</v>
      </c>
      <c r="AM21" s="8">
        <f>Lind!AM16</f>
        <v>0</v>
      </c>
      <c r="AN21" s="8">
        <f>Lind!AN16</f>
        <v>0</v>
      </c>
      <c r="AO21" s="8">
        <f>Lind!AO16</f>
        <v>0</v>
      </c>
      <c r="AP21" s="8">
        <f>Lind!AP16</f>
        <v>0</v>
      </c>
      <c r="AQ21" s="9">
        <f>Lind!AQ16</f>
        <v>0</v>
      </c>
      <c r="AR21" s="8">
        <f>Lind!AR16</f>
        <v>0</v>
      </c>
      <c r="AS21" s="8">
        <f>Lind!AS16</f>
        <v>0</v>
      </c>
      <c r="AT21" s="8">
        <f>Lind!AT16</f>
        <v>0</v>
      </c>
      <c r="AU21" s="8">
        <f>Lind!AU16</f>
        <v>0</v>
      </c>
      <c r="AV21" s="8">
        <f>Lind!AV16</f>
        <v>0</v>
      </c>
      <c r="AW21" s="8">
        <f>Lind!AW16</f>
        <v>0</v>
      </c>
      <c r="AX21" s="8">
        <f>Lind!AX16</f>
        <v>0</v>
      </c>
      <c r="AY21" s="8">
        <f>Lind!AY16</f>
        <v>0</v>
      </c>
      <c r="BA21">
        <f t="shared" si="13"/>
        <v>1.2E-2</v>
      </c>
      <c r="BB21" s="48">
        <f t="shared" si="12"/>
        <v>0.60318578948924029</v>
      </c>
      <c r="BC21" s="69">
        <f t="shared" ca="1" si="4"/>
        <v>24.333795706036867</v>
      </c>
      <c r="BD21" s="69">
        <f t="shared" ca="1" si="5"/>
        <v>72.1723845457919</v>
      </c>
      <c r="BE21" s="70">
        <f t="shared" ca="1" si="6"/>
        <v>-106.64203681614916</v>
      </c>
      <c r="BF21" s="70">
        <f t="shared" ca="1" si="7"/>
        <v>-15.779551356694782</v>
      </c>
      <c r="BG21" s="70">
        <f t="shared" ca="1" si="8"/>
        <v>44.616387678918592</v>
      </c>
      <c r="BH21" s="70">
        <f t="shared" ca="1" si="9"/>
        <v>0</v>
      </c>
      <c r="BI21" s="70">
        <f t="shared" ca="1" si="10"/>
        <v>0</v>
      </c>
      <c r="BJ21" s="70">
        <f t="shared" ca="1" si="11"/>
        <v>0</v>
      </c>
    </row>
    <row r="22" spans="2:62" ht="15.75" thickBot="1" x14ac:dyDescent="0.3">
      <c r="C22" s="22">
        <v>8</v>
      </c>
      <c r="D22" s="10">
        <f>Lind!D17</f>
        <v>0</v>
      </c>
      <c r="E22" s="11">
        <f>Lind!E17</f>
        <v>0</v>
      </c>
      <c r="F22" s="11">
        <f>Lind!F17</f>
        <v>0</v>
      </c>
      <c r="G22" s="11">
        <f>Lind!G17</f>
        <v>0</v>
      </c>
      <c r="H22" s="11">
        <f>Lind!H17</f>
        <v>0</v>
      </c>
      <c r="I22" s="11">
        <f>Lind!I17</f>
        <v>0</v>
      </c>
      <c r="J22" s="11">
        <f>Lind!J17</f>
        <v>0</v>
      </c>
      <c r="K22" s="11">
        <f>Lind!K17</f>
        <v>0</v>
      </c>
      <c r="L22" s="11">
        <f>Lind!L17</f>
        <v>0</v>
      </c>
      <c r="M22" s="11">
        <f>Lind!M17</f>
        <v>0</v>
      </c>
      <c r="N22" s="11">
        <f>Lind!N17</f>
        <v>0</v>
      </c>
      <c r="O22" s="11">
        <f>Lind!O17</f>
        <v>0</v>
      </c>
      <c r="P22" s="11">
        <f>Lind!P17</f>
        <v>0</v>
      </c>
      <c r="Q22" s="11">
        <f>Lind!Q17</f>
        <v>0</v>
      </c>
      <c r="R22" s="11">
        <f>Lind!R17</f>
        <v>0</v>
      </c>
      <c r="S22" s="11">
        <f>Lind!S17</f>
        <v>0</v>
      </c>
      <c r="T22" s="11">
        <f>Lind!T17</f>
        <v>0</v>
      </c>
      <c r="U22" s="11">
        <f>Lind!U17</f>
        <v>0</v>
      </c>
      <c r="V22" s="11">
        <f>Lind!V17</f>
        <v>0</v>
      </c>
      <c r="W22" s="11">
        <f>Lind!W17</f>
        <v>0</v>
      </c>
      <c r="X22" s="11">
        <f>Lind!X17</f>
        <v>0</v>
      </c>
      <c r="Y22" s="11">
        <f>Lind!Y17</f>
        <v>0</v>
      </c>
      <c r="Z22" s="11">
        <f>Lind!Z17</f>
        <v>0</v>
      </c>
      <c r="AA22" s="11">
        <f>Lind!AA17</f>
        <v>0</v>
      </c>
      <c r="AB22" s="11">
        <f>Lind!AB17</f>
        <v>0</v>
      </c>
      <c r="AC22" s="11">
        <f>Lind!AC17</f>
        <v>0</v>
      </c>
      <c r="AD22" s="11">
        <f>Lind!AD17</f>
        <v>0</v>
      </c>
      <c r="AE22" s="11">
        <f>Lind!AE17</f>
        <v>0</v>
      </c>
      <c r="AF22" s="11">
        <f>Lind!AF17</f>
        <v>0</v>
      </c>
      <c r="AG22" s="12">
        <f>Lind!AG17</f>
        <v>0</v>
      </c>
      <c r="AH22" s="11">
        <f>Lind!AH17</f>
        <v>0</v>
      </c>
      <c r="AI22" s="11">
        <f>Lind!AI17</f>
        <v>0</v>
      </c>
      <c r="AJ22" s="11">
        <f>Lind!AJ17</f>
        <v>0</v>
      </c>
      <c r="AK22" s="11">
        <f>Lind!AK17</f>
        <v>0</v>
      </c>
      <c r="AL22" s="11">
        <f>Lind!AL17</f>
        <v>0</v>
      </c>
      <c r="AM22" s="11">
        <f>Lind!AM17</f>
        <v>0</v>
      </c>
      <c r="AN22" s="11">
        <f>Lind!AN17</f>
        <v>0</v>
      </c>
      <c r="AO22" s="11">
        <f>Lind!AO17</f>
        <v>0</v>
      </c>
      <c r="AP22" s="11">
        <f>Lind!AP17</f>
        <v>0</v>
      </c>
      <c r="AQ22" s="12">
        <f>Lind!AQ17</f>
        <v>0</v>
      </c>
      <c r="AR22" s="11">
        <f>Lind!AR17</f>
        <v>0</v>
      </c>
      <c r="AS22" s="11">
        <f>Lind!AS17</f>
        <v>0</v>
      </c>
      <c r="AT22" s="11">
        <f>Lind!AT17</f>
        <v>0</v>
      </c>
      <c r="AU22" s="11">
        <f>Lind!AU17</f>
        <v>0</v>
      </c>
      <c r="AV22" s="11">
        <f>Lind!AV17</f>
        <v>0</v>
      </c>
      <c r="AW22" s="11">
        <f>Lind!AW17</f>
        <v>0</v>
      </c>
      <c r="AX22" s="11">
        <f>Lind!AX17</f>
        <v>0</v>
      </c>
      <c r="AY22" s="11">
        <f>Lind!AY17</f>
        <v>0</v>
      </c>
      <c r="BA22">
        <f t="shared" si="13"/>
        <v>1.4E-2</v>
      </c>
      <c r="BB22" s="48">
        <f t="shared" si="12"/>
        <v>0.70371675440411363</v>
      </c>
      <c r="BC22" s="69">
        <f t="shared" ca="1" si="4"/>
        <v>33.212215091959997</v>
      </c>
      <c r="BD22" s="69">
        <f t="shared" ca="1" si="5"/>
        <v>62.771151685354468</v>
      </c>
      <c r="BE22" s="70">
        <f t="shared" ca="1" si="6"/>
        <v>-113.38401386500318</v>
      </c>
      <c r="BF22" s="70">
        <f t="shared" ca="1" si="7"/>
        <v>-16.36591917976957</v>
      </c>
      <c r="BG22" s="70">
        <f t="shared" ca="1" si="8"/>
        <v>45.701881951187396</v>
      </c>
      <c r="BH22" s="70">
        <f t="shared" ca="1" si="9"/>
        <v>0</v>
      </c>
      <c r="BI22" s="70">
        <f t="shared" ca="1" si="10"/>
        <v>0</v>
      </c>
      <c r="BJ22" s="70">
        <f t="shared" ca="1" si="11"/>
        <v>0</v>
      </c>
    </row>
    <row r="23" spans="2:62" x14ac:dyDescent="0.25">
      <c r="BA23">
        <f t="shared" si="13"/>
        <v>1.6E-2</v>
      </c>
      <c r="BB23" s="48">
        <f t="shared" si="12"/>
        <v>0.80424771931898709</v>
      </c>
      <c r="BC23" s="69">
        <f t="shared" ca="1" si="4"/>
        <v>46.686433702426406</v>
      </c>
      <c r="BD23" s="69">
        <f t="shared" ca="1" si="5"/>
        <v>54.489075101999859</v>
      </c>
      <c r="BE23" s="70">
        <f t="shared" ca="1" si="6"/>
        <v>-121.71174693018142</v>
      </c>
      <c r="BF23" s="70">
        <f t="shared" ca="1" si="7"/>
        <v>-16.917993605201115</v>
      </c>
      <c r="BG23" s="70">
        <f t="shared" ca="1" si="8"/>
        <v>47.912276031758232</v>
      </c>
      <c r="BH23" s="70">
        <f t="shared" ca="1" si="9"/>
        <v>0</v>
      </c>
      <c r="BI23" s="70">
        <f t="shared" ca="1" si="10"/>
        <v>0</v>
      </c>
      <c r="BJ23" s="70">
        <f t="shared" ca="1" si="11"/>
        <v>0</v>
      </c>
    </row>
    <row r="24" spans="2:62" x14ac:dyDescent="0.25">
      <c r="C24" s="15" t="s">
        <v>17</v>
      </c>
      <c r="D24">
        <f>D13</f>
        <v>0.33069396353576769</v>
      </c>
      <c r="E24">
        <f t="shared" ref="E24:AO24" si="14">E13</f>
        <v>0.66138792707153538</v>
      </c>
      <c r="F24">
        <f t="shared" si="14"/>
        <v>0.99208189060730301</v>
      </c>
      <c r="G24">
        <f t="shared" si="14"/>
        <v>1.3227758541430708</v>
      </c>
      <c r="H24">
        <f t="shared" si="14"/>
        <v>1.6534698176788385</v>
      </c>
      <c r="I24">
        <f t="shared" si="14"/>
        <v>1.984163781214606</v>
      </c>
      <c r="J24">
        <f t="shared" si="14"/>
        <v>2.3148577447503738</v>
      </c>
      <c r="K24">
        <f t="shared" si="14"/>
        <v>2.6455517082861415</v>
      </c>
      <c r="L24">
        <f t="shared" si="14"/>
        <v>2.9762456718219092</v>
      </c>
      <c r="M24">
        <f t="shared" si="14"/>
        <v>3.306939635357677</v>
      </c>
      <c r="N24">
        <f t="shared" si="14"/>
        <v>3.6376335988934447</v>
      </c>
      <c r="O24">
        <f t="shared" si="14"/>
        <v>3.968327562429212</v>
      </c>
      <c r="P24">
        <f t="shared" si="14"/>
        <v>4.2990215259649798</v>
      </c>
      <c r="Q24">
        <f t="shared" si="14"/>
        <v>4.6297154895007475</v>
      </c>
      <c r="R24">
        <f t="shared" si="14"/>
        <v>4.9604094530365153</v>
      </c>
      <c r="S24">
        <f t="shared" si="14"/>
        <v>5.291103416572283</v>
      </c>
      <c r="T24">
        <f t="shared" si="14"/>
        <v>5.6217973801080507</v>
      </c>
      <c r="U24">
        <f t="shared" si="14"/>
        <v>5.9524913436438185</v>
      </c>
      <c r="V24">
        <f t="shared" si="14"/>
        <v>1.8530717958586962E-4</v>
      </c>
      <c r="W24">
        <f t="shared" si="14"/>
        <v>0.33087927071535361</v>
      </c>
      <c r="X24">
        <f t="shared" si="14"/>
        <v>0.66157323425112224</v>
      </c>
      <c r="Y24">
        <f t="shared" si="14"/>
        <v>0.9922671977868891</v>
      </c>
      <c r="Z24">
        <f t="shared" si="14"/>
        <v>1.3229611613226568</v>
      </c>
      <c r="AA24">
        <f t="shared" si="14"/>
        <v>1.6536551248584237</v>
      </c>
      <c r="AB24">
        <f t="shared" si="14"/>
        <v>1.9843490883941923</v>
      </c>
      <c r="AC24">
        <f t="shared" si="14"/>
        <v>2.3150430519299592</v>
      </c>
      <c r="AD24">
        <f t="shared" si="14"/>
        <v>2.6457370154657278</v>
      </c>
      <c r="AE24">
        <f t="shared" si="14"/>
        <v>2.9764309790014947</v>
      </c>
      <c r="AF24">
        <f t="shared" si="14"/>
        <v>3.3071249425372633</v>
      </c>
      <c r="AG24">
        <f t="shared" si="14"/>
        <v>3.6378189060730302</v>
      </c>
      <c r="AH24">
        <f t="shared" si="14"/>
        <v>3.9685128696087988</v>
      </c>
      <c r="AI24">
        <f t="shared" si="14"/>
        <v>4.2992068331445656</v>
      </c>
      <c r="AJ24">
        <f>AJ13</f>
        <v>4.6299007966803343</v>
      </c>
      <c r="AK24">
        <f t="shared" si="14"/>
        <v>4.9605947602161011</v>
      </c>
      <c r="AL24">
        <f t="shared" si="14"/>
        <v>5.291288723751868</v>
      </c>
      <c r="AM24">
        <f t="shared" si="14"/>
        <v>5.6219826872876366</v>
      </c>
      <c r="AN24">
        <f t="shared" si="14"/>
        <v>5.9526766508234052</v>
      </c>
      <c r="AO24">
        <f t="shared" si="14"/>
        <v>3.7061435917173924E-4</v>
      </c>
      <c r="AP24">
        <f t="shared" ref="AP24:AS24" si="15">AP13</f>
        <v>0.33106457789494037</v>
      </c>
      <c r="AQ24">
        <f t="shared" si="15"/>
        <v>0.66175854143070723</v>
      </c>
      <c r="AR24">
        <f t="shared" si="15"/>
        <v>0.99245250496647586</v>
      </c>
      <c r="AS24">
        <f t="shared" si="15"/>
        <v>1.3231464685022445</v>
      </c>
      <c r="AT24">
        <f>AT13</f>
        <v>1.6538404320380096</v>
      </c>
      <c r="AU24">
        <f t="shared" ref="AU24:AY24" si="16">AU13</f>
        <v>1.9845343955737782</v>
      </c>
      <c r="AV24">
        <f t="shared" si="16"/>
        <v>2.3152283591095451</v>
      </c>
      <c r="AW24">
        <f t="shared" si="16"/>
        <v>2.6459223226453137</v>
      </c>
      <c r="AX24">
        <f t="shared" si="16"/>
        <v>2.9766162861810823</v>
      </c>
      <c r="AY24">
        <f t="shared" si="16"/>
        <v>3.3073102497168474</v>
      </c>
      <c r="BA24">
        <f t="shared" si="13"/>
        <v>1.8000000000000002E-2</v>
      </c>
      <c r="BB24" s="48">
        <f t="shared" si="12"/>
        <v>0.90477868423386054</v>
      </c>
      <c r="BC24" s="69">
        <f t="shared" ca="1" si="4"/>
        <v>58.667026086420449</v>
      </c>
      <c r="BD24" s="69">
        <f t="shared" ca="1" si="5"/>
        <v>43.347596711927281</v>
      </c>
      <c r="BE24" s="70">
        <f t="shared" ca="1" si="6"/>
        <v>-124.25220620928837</v>
      </c>
      <c r="BF24" s="70">
        <f t="shared" ca="1" si="7"/>
        <v>-18.084799468589551</v>
      </c>
      <c r="BG24" s="70">
        <f t="shared" ca="1" si="8"/>
        <v>46.810387656162597</v>
      </c>
      <c r="BH24" s="70">
        <f t="shared" ca="1" si="9"/>
        <v>0</v>
      </c>
      <c r="BI24" s="70">
        <f t="shared" ca="1" si="10"/>
        <v>0</v>
      </c>
      <c r="BJ24" s="70">
        <f t="shared" ca="1" si="11"/>
        <v>0</v>
      </c>
    </row>
    <row r="25" spans="2:62" x14ac:dyDescent="0.25">
      <c r="B25" t="s">
        <v>72</v>
      </c>
      <c r="C25" s="22">
        <v>1</v>
      </c>
      <c r="D25">
        <f>D37-D38</f>
        <v>4</v>
      </c>
      <c r="E25">
        <f t="shared" ref="E25:AG25" si="17">E37-E38</f>
        <v>4</v>
      </c>
      <c r="F25">
        <f t="shared" si="17"/>
        <v>2</v>
      </c>
      <c r="G25">
        <f t="shared" si="17"/>
        <v>0</v>
      </c>
      <c r="H25">
        <f t="shared" si="17"/>
        <v>0</v>
      </c>
      <c r="I25">
        <f t="shared" si="17"/>
        <v>0</v>
      </c>
      <c r="J25">
        <f t="shared" si="17"/>
        <v>0</v>
      </c>
      <c r="K25">
        <f t="shared" si="17"/>
        <v>-2</v>
      </c>
      <c r="L25">
        <f t="shared" si="17"/>
        <v>-4</v>
      </c>
      <c r="M25">
        <f t="shared" si="17"/>
        <v>-4</v>
      </c>
      <c r="N25">
        <f t="shared" si="17"/>
        <v>0</v>
      </c>
      <c r="O25">
        <f t="shared" si="17"/>
        <v>0</v>
      </c>
      <c r="P25">
        <f t="shared" si="17"/>
        <v>0</v>
      </c>
      <c r="Q25">
        <f t="shared" si="17"/>
        <v>0</v>
      </c>
      <c r="R25">
        <f t="shared" si="17"/>
        <v>0</v>
      </c>
      <c r="S25">
        <f t="shared" si="17"/>
        <v>4</v>
      </c>
      <c r="T25">
        <f t="shared" si="17"/>
        <v>4</v>
      </c>
      <c r="U25">
        <f t="shared" si="17"/>
        <v>2</v>
      </c>
      <c r="V25">
        <f t="shared" si="17"/>
        <v>0</v>
      </c>
      <c r="W25">
        <f t="shared" si="17"/>
        <v>0</v>
      </c>
      <c r="X25">
        <f t="shared" si="17"/>
        <v>0</v>
      </c>
      <c r="Y25">
        <f t="shared" si="17"/>
        <v>0</v>
      </c>
      <c r="Z25">
        <f t="shared" si="17"/>
        <v>-2</v>
      </c>
      <c r="AA25">
        <f t="shared" si="17"/>
        <v>-4</v>
      </c>
      <c r="AB25">
        <f t="shared" si="17"/>
        <v>-4</v>
      </c>
      <c r="AC25">
        <f t="shared" si="17"/>
        <v>0</v>
      </c>
      <c r="AD25">
        <f t="shared" si="17"/>
        <v>0</v>
      </c>
      <c r="AE25">
        <f t="shared" si="17"/>
        <v>0</v>
      </c>
      <c r="AF25">
        <f t="shared" si="17"/>
        <v>0</v>
      </c>
      <c r="AG25">
        <f t="shared" si="17"/>
        <v>0</v>
      </c>
      <c r="AH25">
        <f>AH37-AH38</f>
        <v>0</v>
      </c>
      <c r="AI25">
        <f t="shared" ref="AI25:AQ25" si="18">AI37-AI38</f>
        <v>0</v>
      </c>
      <c r="AJ25">
        <f t="shared" si="18"/>
        <v>0</v>
      </c>
      <c r="AK25">
        <f t="shared" si="18"/>
        <v>0</v>
      </c>
      <c r="AL25">
        <f t="shared" si="18"/>
        <v>0</v>
      </c>
      <c r="AM25">
        <f t="shared" si="18"/>
        <v>4</v>
      </c>
      <c r="AN25">
        <f t="shared" si="18"/>
        <v>0</v>
      </c>
      <c r="AO25">
        <f t="shared" si="18"/>
        <v>2</v>
      </c>
      <c r="AP25">
        <f t="shared" si="18"/>
        <v>0</v>
      </c>
      <c r="AQ25">
        <f t="shared" si="18"/>
        <v>0</v>
      </c>
      <c r="AR25">
        <f>AR37-AR38</f>
        <v>0</v>
      </c>
      <c r="AS25">
        <f t="shared" ref="AS25:AY25" si="19">AS37-AS38</f>
        <v>0</v>
      </c>
      <c r="AT25">
        <f t="shared" si="19"/>
        <v>0</v>
      </c>
      <c r="AU25">
        <f t="shared" si="19"/>
        <v>0</v>
      </c>
      <c r="AV25">
        <f t="shared" si="19"/>
        <v>0</v>
      </c>
      <c r="AW25">
        <f t="shared" si="19"/>
        <v>0</v>
      </c>
      <c r="AX25">
        <f t="shared" si="19"/>
        <v>0</v>
      </c>
      <c r="AY25">
        <f t="shared" si="19"/>
        <v>0</v>
      </c>
      <c r="BA25">
        <f t="shared" si="13"/>
        <v>2.0000000000000004E-2</v>
      </c>
      <c r="BB25" s="48">
        <f t="shared" si="12"/>
        <v>1.0053096491487339</v>
      </c>
      <c r="BC25" s="69">
        <f t="shared" ca="1" si="4"/>
        <v>70.710790890862967</v>
      </c>
      <c r="BD25" s="69">
        <f t="shared" ca="1" si="5"/>
        <v>38.700436946157659</v>
      </c>
      <c r="BE25" s="70">
        <f t="shared" ca="1" si="6"/>
        <v>-124.37029434046671</v>
      </c>
      <c r="BF25" s="70">
        <f t="shared" ca="1" si="7"/>
        <v>-18.794359695795748</v>
      </c>
      <c r="BG25" s="70">
        <f t="shared" ca="1" si="8"/>
        <v>47.024759005943345</v>
      </c>
      <c r="BH25" s="70">
        <f t="shared" ca="1" si="9"/>
        <v>0</v>
      </c>
      <c r="BI25" s="70">
        <f t="shared" ca="1" si="10"/>
        <v>0</v>
      </c>
      <c r="BJ25" s="70">
        <f t="shared" ca="1" si="11"/>
        <v>0</v>
      </c>
    </row>
    <row r="26" spans="2:62" x14ac:dyDescent="0.25">
      <c r="C26" s="22">
        <v>2</v>
      </c>
      <c r="D26">
        <f>D39-D40</f>
        <v>0</v>
      </c>
      <c r="E26">
        <f t="shared" ref="E26:AO26" si="20">E39-E40</f>
        <v>0</v>
      </c>
      <c r="F26">
        <f t="shared" si="20"/>
        <v>0</v>
      </c>
      <c r="G26">
        <f t="shared" si="20"/>
        <v>0</v>
      </c>
      <c r="H26">
        <f t="shared" si="20"/>
        <v>0</v>
      </c>
      <c r="I26">
        <f t="shared" si="20"/>
        <v>4</v>
      </c>
      <c r="J26">
        <f t="shared" si="20"/>
        <v>4</v>
      </c>
      <c r="K26">
        <f t="shared" si="20"/>
        <v>2</v>
      </c>
      <c r="L26">
        <f t="shared" si="20"/>
        <v>0</v>
      </c>
      <c r="M26">
        <f t="shared" si="20"/>
        <v>0</v>
      </c>
      <c r="N26">
        <f t="shared" si="20"/>
        <v>0</v>
      </c>
      <c r="O26">
        <f t="shared" si="20"/>
        <v>0</v>
      </c>
      <c r="P26">
        <f t="shared" si="20"/>
        <v>-2</v>
      </c>
      <c r="Q26">
        <f t="shared" si="20"/>
        <v>-4</v>
      </c>
      <c r="R26">
        <f t="shared" si="20"/>
        <v>-4</v>
      </c>
      <c r="S26">
        <f t="shared" si="20"/>
        <v>0</v>
      </c>
      <c r="T26">
        <f t="shared" si="20"/>
        <v>0</v>
      </c>
      <c r="U26">
        <f t="shared" si="20"/>
        <v>0</v>
      </c>
      <c r="V26">
        <f t="shared" si="20"/>
        <v>0</v>
      </c>
      <c r="W26">
        <f t="shared" si="20"/>
        <v>0</v>
      </c>
      <c r="X26">
        <f t="shared" si="20"/>
        <v>0</v>
      </c>
      <c r="Y26">
        <f t="shared" si="20"/>
        <v>0</v>
      </c>
      <c r="Z26">
        <f t="shared" si="20"/>
        <v>2</v>
      </c>
      <c r="AA26">
        <f t="shared" si="20"/>
        <v>0</v>
      </c>
      <c r="AB26">
        <f t="shared" si="20"/>
        <v>0</v>
      </c>
      <c r="AC26">
        <f t="shared" si="20"/>
        <v>0</v>
      </c>
      <c r="AD26">
        <f t="shared" si="20"/>
        <v>0</v>
      </c>
      <c r="AE26">
        <f t="shared" si="20"/>
        <v>-2</v>
      </c>
      <c r="AF26">
        <f>AF39-AF40</f>
        <v>0</v>
      </c>
      <c r="AG26">
        <f t="shared" si="20"/>
        <v>-1</v>
      </c>
      <c r="AH26">
        <f t="shared" si="20"/>
        <v>0</v>
      </c>
      <c r="AI26">
        <f t="shared" si="20"/>
        <v>0</v>
      </c>
      <c r="AJ26">
        <f t="shared" si="20"/>
        <v>0</v>
      </c>
      <c r="AK26">
        <f t="shared" si="20"/>
        <v>-4</v>
      </c>
      <c r="AL26">
        <f t="shared" si="20"/>
        <v>-4</v>
      </c>
      <c r="AM26">
        <f t="shared" si="20"/>
        <v>0</v>
      </c>
      <c r="AN26">
        <f t="shared" si="20"/>
        <v>0</v>
      </c>
      <c r="AO26">
        <f t="shared" si="20"/>
        <v>0</v>
      </c>
      <c r="AP26">
        <f>AP39-AP40</f>
        <v>0</v>
      </c>
      <c r="AQ26">
        <f t="shared" ref="AQ26:AY26" si="21">AQ39-AQ40</f>
        <v>0</v>
      </c>
      <c r="AR26">
        <f t="shared" si="21"/>
        <v>0</v>
      </c>
      <c r="AS26">
        <f t="shared" si="21"/>
        <v>0</v>
      </c>
      <c r="AT26">
        <f t="shared" si="21"/>
        <v>0</v>
      </c>
      <c r="AU26">
        <f t="shared" si="21"/>
        <v>0</v>
      </c>
      <c r="AV26">
        <f t="shared" si="21"/>
        <v>0</v>
      </c>
      <c r="AW26">
        <f t="shared" si="21"/>
        <v>0</v>
      </c>
      <c r="AX26">
        <f t="shared" si="21"/>
        <v>0</v>
      </c>
      <c r="AY26">
        <f t="shared" si="21"/>
        <v>0</v>
      </c>
      <c r="BA26">
        <f t="shared" si="13"/>
        <v>2.2000000000000006E-2</v>
      </c>
      <c r="BB26" s="48">
        <f t="shared" si="12"/>
        <v>1.1058406140636075</v>
      </c>
      <c r="BC26" s="69">
        <f t="shared" ca="1" si="4"/>
        <v>79.243525636099932</v>
      </c>
      <c r="BD26" s="69">
        <f t="shared" ca="1" si="5"/>
        <v>26.282260493880141</v>
      </c>
      <c r="BE26" s="70">
        <f t="shared" ca="1" si="6"/>
        <v>-123.37236085731067</v>
      </c>
      <c r="BF26" s="70">
        <f t="shared" ca="1" si="7"/>
        <v>-17.658915960754886</v>
      </c>
      <c r="BG26" s="70">
        <f t="shared" ca="1" si="8"/>
        <v>48.259196477850722</v>
      </c>
      <c r="BH26" s="70">
        <f t="shared" ca="1" si="9"/>
        <v>0</v>
      </c>
      <c r="BI26" s="70">
        <f t="shared" ca="1" si="10"/>
        <v>0</v>
      </c>
      <c r="BJ26" s="70">
        <f t="shared" ca="1" si="11"/>
        <v>0</v>
      </c>
    </row>
    <row r="27" spans="2:62" x14ac:dyDescent="0.25">
      <c r="C27" s="22">
        <v>3</v>
      </c>
      <c r="D27">
        <f>D41-D42</f>
        <v>0</v>
      </c>
      <c r="E27">
        <f t="shared" ref="E27:AO27" si="22">E41-E42</f>
        <v>0</v>
      </c>
      <c r="F27">
        <f t="shared" si="22"/>
        <v>-2</v>
      </c>
      <c r="G27">
        <f t="shared" si="22"/>
        <v>-4</v>
      </c>
      <c r="H27">
        <f t="shared" si="22"/>
        <v>-4</v>
      </c>
      <c r="I27">
        <f t="shared" si="22"/>
        <v>0</v>
      </c>
      <c r="J27">
        <f t="shared" si="22"/>
        <v>0</v>
      </c>
      <c r="K27">
        <f t="shared" si="22"/>
        <v>0</v>
      </c>
      <c r="L27">
        <f t="shared" si="22"/>
        <v>0</v>
      </c>
      <c r="M27">
        <f t="shared" si="22"/>
        <v>0</v>
      </c>
      <c r="N27">
        <f t="shared" si="22"/>
        <v>4</v>
      </c>
      <c r="O27">
        <f t="shared" si="22"/>
        <v>4</v>
      </c>
      <c r="P27">
        <f t="shared" si="22"/>
        <v>2</v>
      </c>
      <c r="Q27">
        <f t="shared" si="22"/>
        <v>0</v>
      </c>
      <c r="R27">
        <f t="shared" si="22"/>
        <v>0</v>
      </c>
      <c r="S27">
        <f t="shared" si="22"/>
        <v>0</v>
      </c>
      <c r="T27">
        <f t="shared" si="22"/>
        <v>0</v>
      </c>
      <c r="U27">
        <f t="shared" si="22"/>
        <v>-2</v>
      </c>
      <c r="V27">
        <f t="shared" si="22"/>
        <v>-4</v>
      </c>
      <c r="W27">
        <f t="shared" si="22"/>
        <v>-4</v>
      </c>
      <c r="X27">
        <f t="shared" si="22"/>
        <v>0</v>
      </c>
      <c r="Y27">
        <f t="shared" si="22"/>
        <v>0</v>
      </c>
      <c r="Z27">
        <f t="shared" si="22"/>
        <v>0</v>
      </c>
      <c r="AA27">
        <f t="shared" si="22"/>
        <v>0</v>
      </c>
      <c r="AB27">
        <f t="shared" si="22"/>
        <v>0</v>
      </c>
      <c r="AC27">
        <f t="shared" si="22"/>
        <v>4</v>
      </c>
      <c r="AD27">
        <f t="shared" si="22"/>
        <v>4</v>
      </c>
      <c r="AE27">
        <f t="shared" si="22"/>
        <v>2</v>
      </c>
      <c r="AF27">
        <f t="shared" si="22"/>
        <v>0</v>
      </c>
      <c r="AG27">
        <f t="shared" si="22"/>
        <v>0</v>
      </c>
      <c r="AH27">
        <f t="shared" si="22"/>
        <v>4</v>
      </c>
      <c r="AI27">
        <f t="shared" si="22"/>
        <v>4</v>
      </c>
      <c r="AJ27">
        <f t="shared" si="22"/>
        <v>0</v>
      </c>
      <c r="AK27">
        <f t="shared" si="22"/>
        <v>0</v>
      </c>
      <c r="AL27">
        <f t="shared" si="22"/>
        <v>0</v>
      </c>
      <c r="AM27">
        <f t="shared" si="22"/>
        <v>0</v>
      </c>
      <c r="AN27">
        <f t="shared" si="22"/>
        <v>0</v>
      </c>
      <c r="AO27">
        <f t="shared" si="22"/>
        <v>-2</v>
      </c>
      <c r="AP27">
        <f t="shared" ref="AP27:AY27" si="23">AP41-AP42</f>
        <v>0</v>
      </c>
      <c r="AQ27">
        <f t="shared" si="23"/>
        <v>0</v>
      </c>
      <c r="AR27">
        <f t="shared" si="23"/>
        <v>0</v>
      </c>
      <c r="AS27">
        <f t="shared" si="23"/>
        <v>0</v>
      </c>
      <c r="AT27">
        <f t="shared" si="23"/>
        <v>0</v>
      </c>
      <c r="AU27">
        <f t="shared" si="23"/>
        <v>0</v>
      </c>
      <c r="AV27">
        <f t="shared" si="23"/>
        <v>0</v>
      </c>
      <c r="AW27">
        <f t="shared" si="23"/>
        <v>0</v>
      </c>
      <c r="AX27">
        <f t="shared" si="23"/>
        <v>0</v>
      </c>
      <c r="AY27">
        <f t="shared" si="23"/>
        <v>0</v>
      </c>
      <c r="BA27">
        <f t="shared" si="13"/>
        <v>2.4000000000000007E-2</v>
      </c>
      <c r="BB27" s="48">
        <f t="shared" si="12"/>
        <v>1.206371578978481</v>
      </c>
      <c r="BC27" s="69">
        <f t="shared" ca="1" si="4"/>
        <v>89.080501955775446</v>
      </c>
      <c r="BD27" s="69">
        <f t="shared" ca="1" si="5"/>
        <v>15.981021221822674</v>
      </c>
      <c r="BE27" s="70">
        <f t="shared" ca="1" si="6"/>
        <v>-123.60382329026503</v>
      </c>
      <c r="BF27" s="70">
        <f t="shared" ca="1" si="7"/>
        <v>-16.67899295923695</v>
      </c>
      <c r="BG27" s="70">
        <f t="shared" ca="1" si="8"/>
        <v>45.909452117264543</v>
      </c>
      <c r="BH27" s="70">
        <f t="shared" ca="1" si="9"/>
        <v>0</v>
      </c>
      <c r="BI27" s="70">
        <f t="shared" ca="1" si="10"/>
        <v>0</v>
      </c>
      <c r="BJ27" s="70">
        <f t="shared" ca="1" si="11"/>
        <v>0</v>
      </c>
    </row>
    <row r="28" spans="2:62" x14ac:dyDescent="0.25">
      <c r="C28" s="22">
        <v>4</v>
      </c>
      <c r="D28">
        <f>D43-D44</f>
        <v>0</v>
      </c>
      <c r="E28">
        <f t="shared" ref="E28:AO28" si="24">E43-E44</f>
        <v>0</v>
      </c>
      <c r="F28">
        <f t="shared" si="24"/>
        <v>0</v>
      </c>
      <c r="G28">
        <f t="shared" si="24"/>
        <v>0</v>
      </c>
      <c r="H28">
        <f t="shared" si="24"/>
        <v>0</v>
      </c>
      <c r="I28">
        <f t="shared" si="24"/>
        <v>0</v>
      </c>
      <c r="J28">
        <f t="shared" si="24"/>
        <v>0</v>
      </c>
      <c r="K28">
        <f t="shared" si="24"/>
        <v>0</v>
      </c>
      <c r="L28">
        <f t="shared" si="24"/>
        <v>0</v>
      </c>
      <c r="M28">
        <f t="shared" si="24"/>
        <v>0</v>
      </c>
      <c r="N28">
        <f t="shared" si="24"/>
        <v>0</v>
      </c>
      <c r="O28">
        <f t="shared" si="24"/>
        <v>0</v>
      </c>
      <c r="P28">
        <f t="shared" si="24"/>
        <v>0</v>
      </c>
      <c r="Q28">
        <f t="shared" si="24"/>
        <v>0</v>
      </c>
      <c r="R28">
        <f t="shared" si="24"/>
        <v>0</v>
      </c>
      <c r="S28">
        <f t="shared" si="24"/>
        <v>0</v>
      </c>
      <c r="T28">
        <f t="shared" si="24"/>
        <v>0</v>
      </c>
      <c r="U28">
        <f t="shared" si="24"/>
        <v>0</v>
      </c>
      <c r="V28">
        <f t="shared" si="24"/>
        <v>0</v>
      </c>
      <c r="W28">
        <f t="shared" si="24"/>
        <v>0</v>
      </c>
      <c r="X28">
        <f t="shared" si="24"/>
        <v>0</v>
      </c>
      <c r="Y28">
        <f t="shared" si="24"/>
        <v>0</v>
      </c>
      <c r="Z28">
        <f t="shared" si="24"/>
        <v>0</v>
      </c>
      <c r="AA28">
        <f t="shared" si="24"/>
        <v>0</v>
      </c>
      <c r="AB28">
        <f t="shared" si="24"/>
        <v>0</v>
      </c>
      <c r="AC28">
        <f t="shared" si="24"/>
        <v>0</v>
      </c>
      <c r="AD28">
        <f t="shared" si="24"/>
        <v>0</v>
      </c>
      <c r="AE28">
        <f t="shared" si="24"/>
        <v>0</v>
      </c>
      <c r="AF28">
        <f t="shared" si="24"/>
        <v>0</v>
      </c>
      <c r="AG28">
        <f t="shared" si="24"/>
        <v>0</v>
      </c>
      <c r="AH28">
        <f t="shared" si="24"/>
        <v>0</v>
      </c>
      <c r="AI28">
        <f t="shared" si="24"/>
        <v>0</v>
      </c>
      <c r="AJ28">
        <f t="shared" si="24"/>
        <v>4</v>
      </c>
      <c r="AK28">
        <f t="shared" si="24"/>
        <v>0</v>
      </c>
      <c r="AL28">
        <f t="shared" si="24"/>
        <v>0</v>
      </c>
      <c r="AM28">
        <f t="shared" si="24"/>
        <v>0</v>
      </c>
      <c r="AN28">
        <f t="shared" si="24"/>
        <v>-4</v>
      </c>
      <c r="AO28">
        <f t="shared" si="24"/>
        <v>0</v>
      </c>
      <c r="AP28">
        <f t="shared" ref="AP28:AY28" si="25">AP43-AP44</f>
        <v>0</v>
      </c>
      <c r="AQ28">
        <f t="shared" si="25"/>
        <v>0</v>
      </c>
      <c r="AR28">
        <f t="shared" si="25"/>
        <v>0</v>
      </c>
      <c r="AS28">
        <f t="shared" si="25"/>
        <v>0</v>
      </c>
      <c r="AT28">
        <f t="shared" si="25"/>
        <v>0</v>
      </c>
      <c r="AU28">
        <f t="shared" si="25"/>
        <v>0</v>
      </c>
      <c r="AV28">
        <f t="shared" si="25"/>
        <v>0</v>
      </c>
      <c r="AW28">
        <f t="shared" si="25"/>
        <v>0</v>
      </c>
      <c r="AX28">
        <f t="shared" si="25"/>
        <v>0</v>
      </c>
      <c r="AY28">
        <f t="shared" si="25"/>
        <v>0</v>
      </c>
      <c r="BA28">
        <f t="shared" si="13"/>
        <v>2.6000000000000009E-2</v>
      </c>
      <c r="BB28" s="48">
        <f t="shared" si="12"/>
        <v>1.3069025438933544</v>
      </c>
      <c r="BC28" s="69">
        <f t="shared" ca="1" si="4"/>
        <v>97.800572200268235</v>
      </c>
      <c r="BD28" s="69">
        <f t="shared" ca="1" si="5"/>
        <v>5.552019541033383</v>
      </c>
      <c r="BE28" s="70">
        <f t="shared" ca="1" si="6"/>
        <v>-126.15658552454474</v>
      </c>
      <c r="BF28" s="70">
        <f t="shared" ca="1" si="7"/>
        <v>-16.394054014221837</v>
      </c>
      <c r="BG28" s="70">
        <f t="shared" ca="1" si="8"/>
        <v>47.496107431530788</v>
      </c>
      <c r="BH28" s="70">
        <f t="shared" ca="1" si="9"/>
        <v>0</v>
      </c>
      <c r="BI28" s="70">
        <f t="shared" ca="1" si="10"/>
        <v>0</v>
      </c>
      <c r="BJ28" s="70">
        <f t="shared" ca="1" si="11"/>
        <v>0</v>
      </c>
    </row>
    <row r="29" spans="2:62" x14ac:dyDescent="0.25">
      <c r="C29" s="22">
        <v>5</v>
      </c>
      <c r="D29">
        <f>D45-D46</f>
        <v>0</v>
      </c>
      <c r="E29">
        <f t="shared" ref="E29:AG29" si="26">E45-E46</f>
        <v>0</v>
      </c>
      <c r="F29">
        <f t="shared" si="26"/>
        <v>0</v>
      </c>
      <c r="G29">
        <f t="shared" si="26"/>
        <v>0</v>
      </c>
      <c r="H29">
        <f t="shared" si="26"/>
        <v>0</v>
      </c>
      <c r="I29">
        <f t="shared" si="26"/>
        <v>0</v>
      </c>
      <c r="J29">
        <f t="shared" si="26"/>
        <v>0</v>
      </c>
      <c r="K29">
        <f t="shared" si="26"/>
        <v>0</v>
      </c>
      <c r="L29">
        <f t="shared" si="26"/>
        <v>0</v>
      </c>
      <c r="M29">
        <f t="shared" si="26"/>
        <v>0</v>
      </c>
      <c r="N29">
        <f t="shared" si="26"/>
        <v>0</v>
      </c>
      <c r="O29">
        <f t="shared" si="26"/>
        <v>0</v>
      </c>
      <c r="P29">
        <f t="shared" si="26"/>
        <v>0</v>
      </c>
      <c r="Q29">
        <f t="shared" si="26"/>
        <v>0</v>
      </c>
      <c r="R29">
        <f t="shared" si="26"/>
        <v>0</v>
      </c>
      <c r="S29">
        <f t="shared" si="26"/>
        <v>0</v>
      </c>
      <c r="T29">
        <f t="shared" si="26"/>
        <v>0</v>
      </c>
      <c r="U29">
        <f t="shared" si="26"/>
        <v>0</v>
      </c>
      <c r="V29">
        <f t="shared" si="26"/>
        <v>0</v>
      </c>
      <c r="W29">
        <f t="shared" si="26"/>
        <v>0</v>
      </c>
      <c r="X29">
        <f t="shared" si="26"/>
        <v>4</v>
      </c>
      <c r="Y29">
        <f t="shared" si="26"/>
        <v>4</v>
      </c>
      <c r="Z29">
        <f t="shared" si="26"/>
        <v>0</v>
      </c>
      <c r="AA29">
        <f t="shared" si="26"/>
        <v>0</v>
      </c>
      <c r="AB29">
        <f t="shared" si="26"/>
        <v>0</v>
      </c>
      <c r="AC29">
        <f t="shared" si="26"/>
        <v>0</v>
      </c>
      <c r="AD29">
        <f t="shared" si="26"/>
        <v>0</v>
      </c>
      <c r="AE29">
        <f t="shared" si="26"/>
        <v>0</v>
      </c>
      <c r="AF29">
        <f t="shared" si="26"/>
        <v>-4</v>
      </c>
      <c r="AG29">
        <f t="shared" si="26"/>
        <v>-3</v>
      </c>
      <c r="AH29">
        <f t="shared" ref="AH29:AQ29" si="27">AH45-AH46</f>
        <v>0</v>
      </c>
      <c r="AI29">
        <f t="shared" si="27"/>
        <v>0</v>
      </c>
      <c r="AJ29">
        <f t="shared" si="27"/>
        <v>0</v>
      </c>
      <c r="AK29">
        <f t="shared" si="27"/>
        <v>0</v>
      </c>
      <c r="AL29">
        <f t="shared" si="27"/>
        <v>0</v>
      </c>
      <c r="AM29">
        <f t="shared" si="27"/>
        <v>0</v>
      </c>
      <c r="AN29">
        <f t="shared" si="27"/>
        <v>0</v>
      </c>
      <c r="AO29">
        <f t="shared" si="27"/>
        <v>0</v>
      </c>
      <c r="AP29">
        <f t="shared" si="27"/>
        <v>0</v>
      </c>
      <c r="AQ29">
        <f t="shared" si="27"/>
        <v>0</v>
      </c>
      <c r="AR29">
        <f t="shared" ref="AR29:AY29" si="28">AR45-AR46</f>
        <v>0</v>
      </c>
      <c r="AS29">
        <f t="shared" si="28"/>
        <v>0</v>
      </c>
      <c r="AT29">
        <f t="shared" si="28"/>
        <v>0</v>
      </c>
      <c r="AU29">
        <f t="shared" si="28"/>
        <v>0</v>
      </c>
      <c r="AV29">
        <f t="shared" si="28"/>
        <v>0</v>
      </c>
      <c r="AW29">
        <f t="shared" si="28"/>
        <v>0</v>
      </c>
      <c r="AX29">
        <f t="shared" si="28"/>
        <v>0</v>
      </c>
      <c r="AY29">
        <f t="shared" si="28"/>
        <v>0</v>
      </c>
      <c r="BA29">
        <f t="shared" si="13"/>
        <v>2.8000000000000011E-2</v>
      </c>
      <c r="BB29" s="48">
        <f t="shared" si="12"/>
        <v>1.4074335088082279</v>
      </c>
      <c r="BC29" s="69">
        <f t="shared" ca="1" si="4"/>
        <v>100.07640598696399</v>
      </c>
      <c r="BD29" s="69">
        <f t="shared" ca="1" si="5"/>
        <v>-2.755545107896026</v>
      </c>
      <c r="BE29" s="70">
        <f t="shared" ca="1" si="6"/>
        <v>-117.84929086771261</v>
      </c>
      <c r="BF29" s="70">
        <f t="shared" ca="1" si="7"/>
        <v>-14.654513251258662</v>
      </c>
      <c r="BG29" s="70">
        <f t="shared" ca="1" si="8"/>
        <v>44.372735475319267</v>
      </c>
      <c r="BH29" s="70">
        <f t="shared" ca="1" si="9"/>
        <v>0</v>
      </c>
      <c r="BI29" s="70">
        <f t="shared" ca="1" si="10"/>
        <v>0</v>
      </c>
      <c r="BJ29" s="70">
        <f t="shared" ca="1" si="11"/>
        <v>0</v>
      </c>
    </row>
    <row r="30" spans="2:62" x14ac:dyDescent="0.25">
      <c r="C30" s="22">
        <v>6</v>
      </c>
      <c r="D30">
        <f>D47-D48</f>
        <v>0</v>
      </c>
      <c r="E30">
        <f t="shared" ref="E30:AG30" si="29">E47-E48</f>
        <v>0</v>
      </c>
      <c r="F30">
        <f t="shared" si="29"/>
        <v>0</v>
      </c>
      <c r="G30">
        <f t="shared" si="29"/>
        <v>0</v>
      </c>
      <c r="H30">
        <f t="shared" si="29"/>
        <v>0</v>
      </c>
      <c r="I30">
        <f t="shared" si="29"/>
        <v>0</v>
      </c>
      <c r="J30">
        <f t="shared" si="29"/>
        <v>0</v>
      </c>
      <c r="K30">
        <f t="shared" si="29"/>
        <v>0</v>
      </c>
      <c r="L30">
        <f t="shared" si="29"/>
        <v>0</v>
      </c>
      <c r="M30">
        <f t="shared" si="29"/>
        <v>0</v>
      </c>
      <c r="N30">
        <f t="shared" si="29"/>
        <v>0</v>
      </c>
      <c r="O30">
        <f t="shared" si="29"/>
        <v>0</v>
      </c>
      <c r="P30">
        <f t="shared" si="29"/>
        <v>0</v>
      </c>
      <c r="Q30">
        <f t="shared" si="29"/>
        <v>0</v>
      </c>
      <c r="R30">
        <f t="shared" si="29"/>
        <v>0</v>
      </c>
      <c r="S30">
        <f t="shared" si="29"/>
        <v>0</v>
      </c>
      <c r="T30">
        <f t="shared" si="29"/>
        <v>0</v>
      </c>
      <c r="U30">
        <f t="shared" si="29"/>
        <v>0</v>
      </c>
      <c r="V30">
        <f t="shared" si="29"/>
        <v>0</v>
      </c>
      <c r="W30">
        <f t="shared" si="29"/>
        <v>0</v>
      </c>
      <c r="X30">
        <f t="shared" si="29"/>
        <v>0</v>
      </c>
      <c r="Y30">
        <f t="shared" si="29"/>
        <v>0</v>
      </c>
      <c r="Z30">
        <f t="shared" si="29"/>
        <v>0</v>
      </c>
      <c r="AA30">
        <f t="shared" si="29"/>
        <v>0</v>
      </c>
      <c r="AB30">
        <f t="shared" si="29"/>
        <v>0</v>
      </c>
      <c r="AC30">
        <f t="shared" si="29"/>
        <v>0</v>
      </c>
      <c r="AD30">
        <f t="shared" si="29"/>
        <v>0</v>
      </c>
      <c r="AE30">
        <f t="shared" si="29"/>
        <v>0</v>
      </c>
      <c r="AF30">
        <f t="shared" si="29"/>
        <v>0</v>
      </c>
      <c r="AG30">
        <f t="shared" si="29"/>
        <v>0</v>
      </c>
      <c r="AH30">
        <f t="shared" ref="AH30:AQ30" si="30">AH47-AH48</f>
        <v>0</v>
      </c>
      <c r="AI30">
        <f>AI47-AI48</f>
        <v>0</v>
      </c>
      <c r="AJ30">
        <f t="shared" si="30"/>
        <v>0</v>
      </c>
      <c r="AK30">
        <f t="shared" si="30"/>
        <v>0</v>
      </c>
      <c r="AL30">
        <f t="shared" si="30"/>
        <v>0</v>
      </c>
      <c r="AM30">
        <f t="shared" si="30"/>
        <v>0</v>
      </c>
      <c r="AN30">
        <f t="shared" si="30"/>
        <v>0</v>
      </c>
      <c r="AO30">
        <f t="shared" si="30"/>
        <v>0</v>
      </c>
      <c r="AP30">
        <f t="shared" si="30"/>
        <v>0</v>
      </c>
      <c r="AQ30">
        <f t="shared" si="30"/>
        <v>0</v>
      </c>
      <c r="AR30">
        <f t="shared" ref="AR30" si="31">AR47-AR48</f>
        <v>0</v>
      </c>
      <c r="AS30">
        <f>AS47-AS48</f>
        <v>0</v>
      </c>
      <c r="AT30">
        <f t="shared" ref="AT30:AY30" si="32">AT47-AT48</f>
        <v>0</v>
      </c>
      <c r="AU30">
        <f t="shared" si="32"/>
        <v>0</v>
      </c>
      <c r="AV30">
        <f t="shared" si="32"/>
        <v>0</v>
      </c>
      <c r="AW30">
        <f t="shared" si="32"/>
        <v>0</v>
      </c>
      <c r="AX30">
        <f t="shared" si="32"/>
        <v>0</v>
      </c>
      <c r="AY30">
        <f t="shared" si="32"/>
        <v>0</v>
      </c>
      <c r="BA30">
        <f t="shared" si="13"/>
        <v>3.0000000000000013E-2</v>
      </c>
      <c r="BB30" s="48">
        <f t="shared" si="12"/>
        <v>1.5079644737231013</v>
      </c>
      <c r="BC30" s="69">
        <f t="shared" ca="1" si="4"/>
        <v>105.91254910918185</v>
      </c>
      <c r="BD30" s="69">
        <f t="shared" ca="1" si="5"/>
        <v>-12.489433911207335</v>
      </c>
      <c r="BE30" s="70">
        <f t="shared" ca="1" si="6"/>
        <v>-115.66696616719521</v>
      </c>
      <c r="BF30" s="70">
        <f t="shared" ca="1" si="7"/>
        <v>-13.811256323558755</v>
      </c>
      <c r="BG30" s="70">
        <f t="shared" ca="1" si="8"/>
        <v>44.064249404644002</v>
      </c>
      <c r="BH30" s="70">
        <f t="shared" ca="1" si="9"/>
        <v>0</v>
      </c>
      <c r="BI30" s="70">
        <f t="shared" ca="1" si="10"/>
        <v>0</v>
      </c>
      <c r="BJ30" s="70">
        <f t="shared" ca="1" si="11"/>
        <v>0</v>
      </c>
    </row>
    <row r="31" spans="2:62" x14ac:dyDescent="0.25">
      <c r="C31" s="22">
        <v>7</v>
      </c>
      <c r="D31">
        <f>D49-D50</f>
        <v>0</v>
      </c>
      <c r="E31">
        <f t="shared" ref="E31:AG31" si="33">E49-E50</f>
        <v>0</v>
      </c>
      <c r="F31">
        <f t="shared" si="33"/>
        <v>0</v>
      </c>
      <c r="G31">
        <f t="shared" si="33"/>
        <v>0</v>
      </c>
      <c r="H31">
        <f t="shared" si="33"/>
        <v>0</v>
      </c>
      <c r="I31">
        <f t="shared" si="33"/>
        <v>0</v>
      </c>
      <c r="J31">
        <f t="shared" si="33"/>
        <v>0</v>
      </c>
      <c r="K31">
        <f t="shared" si="33"/>
        <v>0</v>
      </c>
      <c r="L31">
        <f t="shared" si="33"/>
        <v>0</v>
      </c>
      <c r="M31">
        <f t="shared" si="33"/>
        <v>0</v>
      </c>
      <c r="N31">
        <f t="shared" si="33"/>
        <v>0</v>
      </c>
      <c r="O31">
        <f t="shared" si="33"/>
        <v>0</v>
      </c>
      <c r="P31">
        <f t="shared" si="33"/>
        <v>0</v>
      </c>
      <c r="Q31">
        <f t="shared" si="33"/>
        <v>0</v>
      </c>
      <c r="R31">
        <f t="shared" si="33"/>
        <v>0</v>
      </c>
      <c r="S31">
        <f t="shared" si="33"/>
        <v>0</v>
      </c>
      <c r="T31">
        <f t="shared" si="33"/>
        <v>0</v>
      </c>
      <c r="U31">
        <f t="shared" si="33"/>
        <v>0</v>
      </c>
      <c r="V31">
        <f t="shared" si="33"/>
        <v>0</v>
      </c>
      <c r="W31">
        <f t="shared" si="33"/>
        <v>0</v>
      </c>
      <c r="X31">
        <f t="shared" si="33"/>
        <v>0</v>
      </c>
      <c r="Y31">
        <f t="shared" si="33"/>
        <v>0</v>
      </c>
      <c r="Z31">
        <f t="shared" si="33"/>
        <v>0</v>
      </c>
      <c r="AA31">
        <f t="shared" si="33"/>
        <v>0</v>
      </c>
      <c r="AB31">
        <f t="shared" si="33"/>
        <v>0</v>
      </c>
      <c r="AC31">
        <f t="shared" si="33"/>
        <v>0</v>
      </c>
      <c r="AD31">
        <f t="shared" si="33"/>
        <v>0</v>
      </c>
      <c r="AE31">
        <f t="shared" si="33"/>
        <v>0</v>
      </c>
      <c r="AF31">
        <f t="shared" si="33"/>
        <v>0</v>
      </c>
      <c r="AG31">
        <f t="shared" si="33"/>
        <v>0</v>
      </c>
      <c r="AH31">
        <f t="shared" ref="AH31:AQ31" si="34">AH49-AH50</f>
        <v>0</v>
      </c>
      <c r="AI31">
        <f t="shared" si="34"/>
        <v>0</v>
      </c>
      <c r="AJ31">
        <f t="shared" si="34"/>
        <v>0</v>
      </c>
      <c r="AK31">
        <f t="shared" si="34"/>
        <v>0</v>
      </c>
      <c r="AL31">
        <f t="shared" si="34"/>
        <v>0</v>
      </c>
      <c r="AM31">
        <f t="shared" si="34"/>
        <v>0</v>
      </c>
      <c r="AN31">
        <f t="shared" si="34"/>
        <v>0</v>
      </c>
      <c r="AO31">
        <f t="shared" si="34"/>
        <v>0</v>
      </c>
      <c r="AP31">
        <f t="shared" si="34"/>
        <v>0</v>
      </c>
      <c r="AQ31">
        <f t="shared" si="34"/>
        <v>0</v>
      </c>
      <c r="AR31">
        <f t="shared" ref="AR31:AY31" si="35">AR49-AR50</f>
        <v>0</v>
      </c>
      <c r="AS31">
        <f t="shared" si="35"/>
        <v>0</v>
      </c>
      <c r="AT31">
        <f t="shared" si="35"/>
        <v>0</v>
      </c>
      <c r="AU31">
        <f t="shared" si="35"/>
        <v>0</v>
      </c>
      <c r="AV31">
        <f t="shared" si="35"/>
        <v>0</v>
      </c>
      <c r="AW31">
        <f t="shared" si="35"/>
        <v>0</v>
      </c>
      <c r="AX31">
        <f t="shared" si="35"/>
        <v>0</v>
      </c>
      <c r="AY31">
        <f t="shared" si="35"/>
        <v>0</v>
      </c>
      <c r="BA31">
        <f t="shared" si="13"/>
        <v>3.2000000000000015E-2</v>
      </c>
      <c r="BB31" s="48">
        <f t="shared" si="12"/>
        <v>1.6084954386379748</v>
      </c>
      <c r="BC31" s="69">
        <f t="shared" ca="1" si="4"/>
        <v>116.17196612350676</v>
      </c>
      <c r="BD31" s="69">
        <f t="shared" ca="1" si="5"/>
        <v>-24.904543828047597</v>
      </c>
      <c r="BE31" s="70">
        <f t="shared" ca="1" si="6"/>
        <v>-106.1596169887713</v>
      </c>
      <c r="BF31" s="70">
        <f t="shared" ca="1" si="7"/>
        <v>-11.961993139298018</v>
      </c>
      <c r="BG31" s="70">
        <f t="shared" ca="1" si="8"/>
        <v>43.014415973337719</v>
      </c>
      <c r="BH31" s="70">
        <f t="shared" ca="1" si="9"/>
        <v>0</v>
      </c>
      <c r="BI31" s="70">
        <f t="shared" ca="1" si="10"/>
        <v>0</v>
      </c>
      <c r="BJ31" s="70">
        <f t="shared" ca="1" si="11"/>
        <v>0</v>
      </c>
    </row>
    <row r="32" spans="2:62" x14ac:dyDescent="0.25">
      <c r="C32" s="22">
        <v>8</v>
      </c>
      <c r="D32">
        <f>D51-D52</f>
        <v>0</v>
      </c>
      <c r="E32">
        <f t="shared" ref="E32:AG32" si="36">E51-E52</f>
        <v>0</v>
      </c>
      <c r="F32">
        <f t="shared" si="36"/>
        <v>0</v>
      </c>
      <c r="G32">
        <f t="shared" si="36"/>
        <v>0</v>
      </c>
      <c r="H32">
        <f t="shared" si="36"/>
        <v>0</v>
      </c>
      <c r="I32">
        <f t="shared" si="36"/>
        <v>0</v>
      </c>
      <c r="J32">
        <f t="shared" si="36"/>
        <v>0</v>
      </c>
      <c r="K32">
        <f t="shared" si="36"/>
        <v>0</v>
      </c>
      <c r="L32">
        <f t="shared" si="36"/>
        <v>0</v>
      </c>
      <c r="M32">
        <f t="shared" si="36"/>
        <v>0</v>
      </c>
      <c r="N32">
        <f t="shared" si="36"/>
        <v>0</v>
      </c>
      <c r="O32">
        <f t="shared" si="36"/>
        <v>0</v>
      </c>
      <c r="P32">
        <f t="shared" si="36"/>
        <v>0</v>
      </c>
      <c r="Q32">
        <f t="shared" si="36"/>
        <v>0</v>
      </c>
      <c r="R32">
        <f t="shared" si="36"/>
        <v>0</v>
      </c>
      <c r="S32">
        <f t="shared" si="36"/>
        <v>0</v>
      </c>
      <c r="T32">
        <f t="shared" si="36"/>
        <v>0</v>
      </c>
      <c r="U32">
        <f t="shared" si="36"/>
        <v>0</v>
      </c>
      <c r="V32">
        <f t="shared" si="36"/>
        <v>0</v>
      </c>
      <c r="W32">
        <f t="shared" si="36"/>
        <v>0</v>
      </c>
      <c r="X32">
        <f t="shared" si="36"/>
        <v>0</v>
      </c>
      <c r="Y32">
        <f t="shared" si="36"/>
        <v>0</v>
      </c>
      <c r="Z32">
        <f t="shared" si="36"/>
        <v>0</v>
      </c>
      <c r="AA32">
        <f t="shared" si="36"/>
        <v>0</v>
      </c>
      <c r="AB32">
        <f t="shared" si="36"/>
        <v>0</v>
      </c>
      <c r="AC32">
        <f t="shared" si="36"/>
        <v>0</v>
      </c>
      <c r="AD32">
        <f t="shared" si="36"/>
        <v>0</v>
      </c>
      <c r="AE32">
        <f t="shared" si="36"/>
        <v>0</v>
      </c>
      <c r="AF32">
        <f t="shared" si="36"/>
        <v>0</v>
      </c>
      <c r="AG32">
        <f t="shared" si="36"/>
        <v>0</v>
      </c>
      <c r="AH32">
        <f t="shared" ref="AH32:AQ32" si="37">AH51-AH52</f>
        <v>0</v>
      </c>
      <c r="AI32">
        <f t="shared" si="37"/>
        <v>0</v>
      </c>
      <c r="AJ32">
        <f t="shared" si="37"/>
        <v>0</v>
      </c>
      <c r="AK32">
        <f t="shared" si="37"/>
        <v>0</v>
      </c>
      <c r="AL32">
        <f t="shared" si="37"/>
        <v>0</v>
      </c>
      <c r="AM32">
        <f t="shared" si="37"/>
        <v>0</v>
      </c>
      <c r="AN32">
        <f t="shared" si="37"/>
        <v>0</v>
      </c>
      <c r="AO32">
        <f t="shared" si="37"/>
        <v>0</v>
      </c>
      <c r="AP32">
        <f t="shared" si="37"/>
        <v>0</v>
      </c>
      <c r="AQ32">
        <f t="shared" si="37"/>
        <v>0</v>
      </c>
      <c r="AR32">
        <f t="shared" ref="AR32:AY32" si="38">AR51-AR52</f>
        <v>0</v>
      </c>
      <c r="AS32">
        <f t="shared" si="38"/>
        <v>0</v>
      </c>
      <c r="AT32">
        <f t="shared" si="38"/>
        <v>0</v>
      </c>
      <c r="AU32">
        <f t="shared" si="38"/>
        <v>0</v>
      </c>
      <c r="AV32">
        <f t="shared" si="38"/>
        <v>0</v>
      </c>
      <c r="AW32">
        <f t="shared" si="38"/>
        <v>0</v>
      </c>
      <c r="AX32">
        <f t="shared" si="38"/>
        <v>0</v>
      </c>
      <c r="AY32">
        <f t="shared" si="38"/>
        <v>0</v>
      </c>
      <c r="BA32">
        <f t="shared" si="13"/>
        <v>3.4000000000000016E-2</v>
      </c>
      <c r="BB32" s="48">
        <f t="shared" si="12"/>
        <v>1.7090264035528482</v>
      </c>
      <c r="BC32" s="69">
        <f t="shared" ca="1" si="4"/>
        <v>117.4477643233965</v>
      </c>
      <c r="BD32" s="69">
        <f t="shared" ca="1" si="5"/>
        <v>-33.851872061853058</v>
      </c>
      <c r="BE32" s="70">
        <f t="shared" ca="1" si="6"/>
        <v>-96.131364960166891</v>
      </c>
      <c r="BF32" s="70">
        <f t="shared" ca="1" si="7"/>
        <v>-11.760200739588225</v>
      </c>
      <c r="BG32" s="70">
        <f t="shared" ca="1" si="8"/>
        <v>38.448759646676351</v>
      </c>
      <c r="BH32" s="70">
        <f t="shared" ca="1" si="9"/>
        <v>0</v>
      </c>
      <c r="BI32" s="70">
        <f t="shared" ca="1" si="10"/>
        <v>0</v>
      </c>
      <c r="BJ32" s="70">
        <f t="shared" ca="1" si="11"/>
        <v>0</v>
      </c>
    </row>
    <row r="33" spans="3:66" x14ac:dyDescent="0.25">
      <c r="C33" s="22"/>
      <c r="BA33">
        <f t="shared" si="13"/>
        <v>3.6000000000000018E-2</v>
      </c>
      <c r="BB33" s="48">
        <f t="shared" si="12"/>
        <v>1.8095573684677217</v>
      </c>
      <c r="BC33" s="69">
        <f t="shared" ca="1" si="4"/>
        <v>123.10707759026766</v>
      </c>
      <c r="BD33" s="69">
        <f t="shared" ca="1" si="5"/>
        <v>-43.388994512402483</v>
      </c>
      <c r="BE33" s="70">
        <f t="shared" ca="1" si="6"/>
        <v>-91.197674259090405</v>
      </c>
      <c r="BF33" s="70">
        <f t="shared" ca="1" si="7"/>
        <v>-9.875040472157691</v>
      </c>
      <c r="BG33" s="70">
        <f t="shared" ca="1" si="8"/>
        <v>35.335192040039438</v>
      </c>
      <c r="BH33" s="70">
        <f t="shared" ca="1" si="9"/>
        <v>0</v>
      </c>
      <c r="BI33" s="70">
        <f t="shared" ca="1" si="10"/>
        <v>0</v>
      </c>
      <c r="BJ33" s="70">
        <f t="shared" ca="1" si="11"/>
        <v>0</v>
      </c>
    </row>
    <row r="34" spans="3:66" x14ac:dyDescent="0.25">
      <c r="C34" s="22"/>
      <c r="BA34">
        <f t="shared" si="13"/>
        <v>3.800000000000002E-2</v>
      </c>
      <c r="BB34" s="48">
        <f t="shared" si="12"/>
        <v>1.9100883333825953</v>
      </c>
      <c r="BC34" s="69">
        <f t="shared" ca="1" si="4"/>
        <v>125.06079289900049</v>
      </c>
      <c r="BD34" s="69">
        <f t="shared" ca="1" si="5"/>
        <v>-49.596533893563496</v>
      </c>
      <c r="BE34" s="70">
        <f t="shared" ca="1" si="6"/>
        <v>-79.509837827760535</v>
      </c>
      <c r="BF34" s="70">
        <f t="shared" ca="1" si="7"/>
        <v>-7.9343222249701064</v>
      </c>
      <c r="BG34" s="70">
        <f t="shared" ca="1" si="8"/>
        <v>31.583849606746181</v>
      </c>
      <c r="BH34" s="70">
        <f t="shared" ca="1" si="9"/>
        <v>0</v>
      </c>
      <c r="BI34" s="70">
        <f t="shared" ca="1" si="10"/>
        <v>0</v>
      </c>
      <c r="BJ34" s="70">
        <f t="shared" ca="1" si="11"/>
        <v>0</v>
      </c>
    </row>
    <row r="35" spans="3:66" x14ac:dyDescent="0.25">
      <c r="BA35">
        <f t="shared" si="13"/>
        <v>4.0000000000000022E-2</v>
      </c>
      <c r="BB35" s="48">
        <f t="shared" si="12"/>
        <v>2.0106192982974687</v>
      </c>
      <c r="BC35" s="69">
        <f t="shared" ca="1" si="4"/>
        <v>122.53345288349149</v>
      </c>
      <c r="BD35" s="69">
        <f t="shared" ca="1" si="5"/>
        <v>-56.32458830110798</v>
      </c>
      <c r="BE35" s="70">
        <f t="shared" ca="1" si="6"/>
        <v>-71.897578547569012</v>
      </c>
      <c r="BF35" s="70">
        <f t="shared" ca="1" si="7"/>
        <v>-7.0462073780386607</v>
      </c>
      <c r="BG35" s="70">
        <f t="shared" ca="1" si="8"/>
        <v>28.999869593383913</v>
      </c>
      <c r="BH35" s="70">
        <f t="shared" ca="1" si="9"/>
        <v>0</v>
      </c>
      <c r="BI35" s="70">
        <f t="shared" ca="1" si="10"/>
        <v>0</v>
      </c>
      <c r="BJ35" s="70">
        <f t="shared" ca="1" si="11"/>
        <v>0</v>
      </c>
    </row>
    <row r="36" spans="3:66" x14ac:dyDescent="0.25">
      <c r="C36" t="s">
        <v>72</v>
      </c>
      <c r="BA36">
        <f t="shared" si="13"/>
        <v>4.2000000000000023E-2</v>
      </c>
      <c r="BB36" s="48">
        <f t="shared" si="12"/>
        <v>2.111150263212342</v>
      </c>
      <c r="BC36" s="69">
        <f t="shared" ca="1" si="4"/>
        <v>121.02840454586303</v>
      </c>
      <c r="BD36" s="69">
        <f t="shared" ca="1" si="5"/>
        <v>-60.737067826069264</v>
      </c>
      <c r="BE36" s="70">
        <f t="shared" ca="1" si="6"/>
        <v>-63.127386705172363</v>
      </c>
      <c r="BF36" s="70">
        <f t="shared" ca="1" si="7"/>
        <v>-5.3923739129475035</v>
      </c>
      <c r="BG36" s="70">
        <f t="shared" ca="1" si="8"/>
        <v>23.918558612395454</v>
      </c>
      <c r="BH36" s="70">
        <f t="shared" ca="1" si="9"/>
        <v>0</v>
      </c>
      <c r="BI36" s="70">
        <f t="shared" ca="1" si="10"/>
        <v>0</v>
      </c>
      <c r="BJ36" s="70">
        <f t="shared" ca="1" si="11"/>
        <v>0</v>
      </c>
    </row>
    <row r="37" spans="3:66" x14ac:dyDescent="0.25">
      <c r="C37" s="34">
        <v>1</v>
      </c>
      <c r="D37">
        <f>COUNTIF(D$15:D$22,"=" &amp;$C37)</f>
        <v>4</v>
      </c>
      <c r="E37">
        <f t="shared" ref="E37:T52" si="39">COUNTIF(E$15:E$22,"=" &amp;$C37)</f>
        <v>4</v>
      </c>
      <c r="F37">
        <f t="shared" si="39"/>
        <v>2</v>
      </c>
      <c r="G37">
        <f t="shared" si="39"/>
        <v>0</v>
      </c>
      <c r="H37">
        <f t="shared" si="39"/>
        <v>0</v>
      </c>
      <c r="I37">
        <f t="shared" si="39"/>
        <v>0</v>
      </c>
      <c r="J37">
        <f t="shared" si="39"/>
        <v>0</v>
      </c>
      <c r="K37">
        <f t="shared" si="39"/>
        <v>0</v>
      </c>
      <c r="L37">
        <f t="shared" si="39"/>
        <v>0</v>
      </c>
      <c r="M37">
        <f t="shared" si="39"/>
        <v>0</v>
      </c>
      <c r="N37">
        <f t="shared" si="39"/>
        <v>0</v>
      </c>
      <c r="O37">
        <f t="shared" si="39"/>
        <v>0</v>
      </c>
      <c r="P37">
        <f t="shared" si="39"/>
        <v>0</v>
      </c>
      <c r="Q37">
        <f t="shared" si="39"/>
        <v>0</v>
      </c>
      <c r="R37">
        <f t="shared" si="39"/>
        <v>0</v>
      </c>
      <c r="S37">
        <f t="shared" si="39"/>
        <v>4</v>
      </c>
      <c r="T37">
        <f t="shared" si="39"/>
        <v>4</v>
      </c>
      <c r="U37">
        <f t="shared" ref="U37:AG52" si="40">COUNTIF(U$15:U$22,"=" &amp;$C37)</f>
        <v>2</v>
      </c>
      <c r="V37">
        <f t="shared" si="40"/>
        <v>0</v>
      </c>
      <c r="W37">
        <f t="shared" si="40"/>
        <v>0</v>
      </c>
      <c r="X37">
        <f t="shared" si="40"/>
        <v>0</v>
      </c>
      <c r="Y37">
        <f t="shared" si="40"/>
        <v>0</v>
      </c>
      <c r="Z37">
        <f t="shared" si="40"/>
        <v>0</v>
      </c>
      <c r="AA37">
        <f t="shared" si="40"/>
        <v>0</v>
      </c>
      <c r="AB37">
        <f t="shared" si="40"/>
        <v>0</v>
      </c>
      <c r="AC37">
        <f t="shared" si="40"/>
        <v>0</v>
      </c>
      <c r="AD37">
        <f t="shared" si="40"/>
        <v>0</v>
      </c>
      <c r="AE37">
        <f t="shared" si="40"/>
        <v>0</v>
      </c>
      <c r="AF37">
        <f t="shared" si="40"/>
        <v>0</v>
      </c>
      <c r="AG37">
        <f t="shared" si="40"/>
        <v>0</v>
      </c>
      <c r="AH37">
        <f t="shared" ref="AH37:AW52" si="41">COUNTIF(AH$15:AH$22,"=" &amp;$C37)</f>
        <v>0</v>
      </c>
      <c r="AI37">
        <f t="shared" si="41"/>
        <v>0</v>
      </c>
      <c r="AJ37">
        <f t="shared" si="41"/>
        <v>0</v>
      </c>
      <c r="AK37">
        <f>COUNTIF(AK$15:AK$22,"=" &amp;$C37)</f>
        <v>0</v>
      </c>
      <c r="AL37">
        <f t="shared" si="41"/>
        <v>0</v>
      </c>
      <c r="AM37">
        <f t="shared" si="41"/>
        <v>4</v>
      </c>
      <c r="AN37">
        <f t="shared" si="41"/>
        <v>0</v>
      </c>
      <c r="AO37">
        <f t="shared" si="41"/>
        <v>2</v>
      </c>
      <c r="AP37">
        <f t="shared" si="41"/>
        <v>0</v>
      </c>
      <c r="AQ37">
        <f t="shared" si="41"/>
        <v>0</v>
      </c>
      <c r="AR37">
        <f t="shared" si="41"/>
        <v>0</v>
      </c>
      <c r="AS37">
        <f t="shared" si="41"/>
        <v>0</v>
      </c>
      <c r="AT37">
        <f t="shared" si="41"/>
        <v>0</v>
      </c>
      <c r="AU37">
        <f>COUNTIF(AU$15:AU$22,"=" &amp;$C37)</f>
        <v>0</v>
      </c>
      <c r="AV37">
        <f t="shared" si="41"/>
        <v>0</v>
      </c>
      <c r="AW37">
        <f t="shared" si="41"/>
        <v>0</v>
      </c>
      <c r="AX37">
        <f t="shared" ref="AR37:AY52" si="42">COUNTIF(AX$15:AX$22,"=" &amp;$C37)</f>
        <v>0</v>
      </c>
      <c r="AY37">
        <f t="shared" si="42"/>
        <v>0</v>
      </c>
      <c r="BA37">
        <f t="shared" si="13"/>
        <v>4.4000000000000025E-2</v>
      </c>
      <c r="BB37" s="48">
        <f t="shared" si="12"/>
        <v>2.2116812281272158</v>
      </c>
      <c r="BC37" s="69">
        <f t="shared" ca="1" si="4"/>
        <v>119.53153273525045</v>
      </c>
      <c r="BD37" s="69">
        <f t="shared" ca="1" si="5"/>
        <v>-69.242972528711761</v>
      </c>
      <c r="BE37" s="70">
        <f t="shared" ca="1" si="6"/>
        <v>-50.595033799447414</v>
      </c>
      <c r="BF37" s="70">
        <f t="shared" ca="1" si="7"/>
        <v>-3.7015929749804926</v>
      </c>
      <c r="BG37" s="70">
        <f t="shared" ca="1" si="8"/>
        <v>19.834367511158284</v>
      </c>
      <c r="BH37" s="70">
        <f t="shared" ca="1" si="9"/>
        <v>0</v>
      </c>
      <c r="BI37" s="70">
        <f t="shared" ca="1" si="10"/>
        <v>0</v>
      </c>
      <c r="BJ37" s="70">
        <f t="shared" ca="1" si="11"/>
        <v>0</v>
      </c>
    </row>
    <row r="38" spans="3:66" x14ac:dyDescent="0.25">
      <c r="C38" s="22">
        <v>-1</v>
      </c>
      <c r="D38">
        <f t="shared" ref="D38:D52" si="43">COUNTIF(D$15:D$22,"=" &amp;$C38)</f>
        <v>0</v>
      </c>
      <c r="E38">
        <f t="shared" si="39"/>
        <v>0</v>
      </c>
      <c r="F38">
        <f t="shared" si="39"/>
        <v>0</v>
      </c>
      <c r="G38">
        <f t="shared" si="39"/>
        <v>0</v>
      </c>
      <c r="H38">
        <f t="shared" si="39"/>
        <v>0</v>
      </c>
      <c r="I38">
        <f t="shared" si="39"/>
        <v>0</v>
      </c>
      <c r="J38">
        <f t="shared" si="39"/>
        <v>0</v>
      </c>
      <c r="K38">
        <f t="shared" si="39"/>
        <v>2</v>
      </c>
      <c r="L38">
        <f t="shared" si="39"/>
        <v>4</v>
      </c>
      <c r="M38">
        <f t="shared" si="39"/>
        <v>4</v>
      </c>
      <c r="N38">
        <f t="shared" si="39"/>
        <v>0</v>
      </c>
      <c r="O38">
        <f t="shared" si="39"/>
        <v>0</v>
      </c>
      <c r="P38">
        <f t="shared" si="39"/>
        <v>0</v>
      </c>
      <c r="Q38">
        <f t="shared" si="39"/>
        <v>0</v>
      </c>
      <c r="R38">
        <f t="shared" si="39"/>
        <v>0</v>
      </c>
      <c r="S38">
        <f t="shared" si="39"/>
        <v>0</v>
      </c>
      <c r="T38">
        <f t="shared" si="39"/>
        <v>0</v>
      </c>
      <c r="U38">
        <f t="shared" si="40"/>
        <v>0</v>
      </c>
      <c r="V38">
        <f t="shared" si="40"/>
        <v>0</v>
      </c>
      <c r="W38">
        <f t="shared" si="40"/>
        <v>0</v>
      </c>
      <c r="X38">
        <f t="shared" si="40"/>
        <v>0</v>
      </c>
      <c r="Y38">
        <f t="shared" si="40"/>
        <v>0</v>
      </c>
      <c r="Z38">
        <f t="shared" si="40"/>
        <v>2</v>
      </c>
      <c r="AA38">
        <f t="shared" si="40"/>
        <v>4</v>
      </c>
      <c r="AB38">
        <f t="shared" si="40"/>
        <v>4</v>
      </c>
      <c r="AC38">
        <f t="shared" si="40"/>
        <v>0</v>
      </c>
      <c r="AD38">
        <f t="shared" si="40"/>
        <v>0</v>
      </c>
      <c r="AE38">
        <f t="shared" si="40"/>
        <v>0</v>
      </c>
      <c r="AF38">
        <f t="shared" si="40"/>
        <v>0</v>
      </c>
      <c r="AG38">
        <f t="shared" si="40"/>
        <v>0</v>
      </c>
      <c r="AH38">
        <f t="shared" si="41"/>
        <v>0</v>
      </c>
      <c r="AI38">
        <f t="shared" si="41"/>
        <v>0</v>
      </c>
      <c r="AJ38">
        <f t="shared" si="41"/>
        <v>0</v>
      </c>
      <c r="AK38">
        <f t="shared" si="41"/>
        <v>0</v>
      </c>
      <c r="AL38">
        <f t="shared" si="41"/>
        <v>0</v>
      </c>
      <c r="AM38">
        <f t="shared" si="41"/>
        <v>0</v>
      </c>
      <c r="AN38">
        <f t="shared" si="41"/>
        <v>0</v>
      </c>
      <c r="AO38">
        <f t="shared" si="41"/>
        <v>0</v>
      </c>
      <c r="AP38">
        <f t="shared" si="41"/>
        <v>0</v>
      </c>
      <c r="AQ38">
        <f t="shared" si="41"/>
        <v>0</v>
      </c>
      <c r="AR38">
        <f t="shared" si="42"/>
        <v>0</v>
      </c>
      <c r="AS38">
        <f t="shared" si="42"/>
        <v>0</v>
      </c>
      <c r="AT38">
        <f t="shared" si="42"/>
        <v>0</v>
      </c>
      <c r="AU38">
        <f t="shared" si="42"/>
        <v>0</v>
      </c>
      <c r="AV38">
        <f t="shared" si="42"/>
        <v>0</v>
      </c>
      <c r="AW38">
        <f t="shared" si="42"/>
        <v>0</v>
      </c>
      <c r="AX38">
        <f t="shared" si="42"/>
        <v>0</v>
      </c>
      <c r="AY38">
        <f t="shared" si="42"/>
        <v>0</v>
      </c>
      <c r="BA38">
        <f t="shared" si="13"/>
        <v>4.6000000000000027E-2</v>
      </c>
      <c r="BB38" s="48">
        <f t="shared" si="12"/>
        <v>2.3122121930420891</v>
      </c>
      <c r="BC38" s="69">
        <f t="shared" ca="1" si="4"/>
        <v>117.82017039006875</v>
      </c>
      <c r="BD38" s="69">
        <f t="shared" ca="1" si="5"/>
        <v>-72.257183796030347</v>
      </c>
      <c r="BE38" s="70">
        <f t="shared" ca="1" si="6"/>
        <v>-34.962266227130769</v>
      </c>
      <c r="BF38" s="70">
        <f t="shared" ca="1" si="7"/>
        <v>-1.7942857333176205</v>
      </c>
      <c r="BG38" s="70">
        <f t="shared" ca="1" si="8"/>
        <v>13.859979759753507</v>
      </c>
      <c r="BH38" s="70">
        <f t="shared" ca="1" si="9"/>
        <v>0</v>
      </c>
      <c r="BI38" s="70">
        <f t="shared" ca="1" si="10"/>
        <v>0</v>
      </c>
      <c r="BJ38" s="70">
        <f t="shared" ca="1" si="11"/>
        <v>0</v>
      </c>
    </row>
    <row r="39" spans="3:66" x14ac:dyDescent="0.25">
      <c r="C39" s="22">
        <v>2</v>
      </c>
      <c r="D39">
        <f t="shared" si="43"/>
        <v>0</v>
      </c>
      <c r="E39">
        <f t="shared" si="39"/>
        <v>0</v>
      </c>
      <c r="F39">
        <f t="shared" si="39"/>
        <v>0</v>
      </c>
      <c r="G39">
        <f t="shared" si="39"/>
        <v>0</v>
      </c>
      <c r="H39">
        <f t="shared" si="39"/>
        <v>0</v>
      </c>
      <c r="I39">
        <f t="shared" si="39"/>
        <v>4</v>
      </c>
      <c r="J39">
        <f t="shared" si="39"/>
        <v>4</v>
      </c>
      <c r="K39">
        <f t="shared" si="39"/>
        <v>2</v>
      </c>
      <c r="L39">
        <f t="shared" si="39"/>
        <v>0</v>
      </c>
      <c r="M39">
        <f t="shared" si="39"/>
        <v>0</v>
      </c>
      <c r="N39">
        <f t="shared" si="39"/>
        <v>0</v>
      </c>
      <c r="O39">
        <f t="shared" si="39"/>
        <v>0</v>
      </c>
      <c r="P39">
        <f t="shared" si="39"/>
        <v>0</v>
      </c>
      <c r="Q39">
        <f t="shared" si="39"/>
        <v>0</v>
      </c>
      <c r="R39">
        <f t="shared" si="39"/>
        <v>0</v>
      </c>
      <c r="S39">
        <f t="shared" si="39"/>
        <v>0</v>
      </c>
      <c r="T39">
        <f t="shared" si="39"/>
        <v>0</v>
      </c>
      <c r="U39">
        <f t="shared" si="40"/>
        <v>0</v>
      </c>
      <c r="V39">
        <f t="shared" si="40"/>
        <v>0</v>
      </c>
      <c r="W39">
        <f t="shared" si="40"/>
        <v>0</v>
      </c>
      <c r="X39">
        <f t="shared" si="40"/>
        <v>0</v>
      </c>
      <c r="Y39">
        <f t="shared" si="40"/>
        <v>0</v>
      </c>
      <c r="Z39">
        <f t="shared" si="40"/>
        <v>2</v>
      </c>
      <c r="AA39">
        <f t="shared" si="40"/>
        <v>0</v>
      </c>
      <c r="AB39">
        <f t="shared" si="40"/>
        <v>0</v>
      </c>
      <c r="AC39">
        <f t="shared" si="40"/>
        <v>0</v>
      </c>
      <c r="AD39">
        <f t="shared" si="40"/>
        <v>0</v>
      </c>
      <c r="AE39">
        <f t="shared" si="40"/>
        <v>0</v>
      </c>
      <c r="AF39">
        <f t="shared" si="40"/>
        <v>0</v>
      </c>
      <c r="AG39">
        <f t="shared" si="40"/>
        <v>0</v>
      </c>
      <c r="AH39">
        <f t="shared" si="41"/>
        <v>0</v>
      </c>
      <c r="AI39">
        <f t="shared" si="41"/>
        <v>0</v>
      </c>
      <c r="AJ39">
        <f t="shared" si="41"/>
        <v>0</v>
      </c>
      <c r="AK39">
        <f t="shared" si="41"/>
        <v>0</v>
      </c>
      <c r="AL39">
        <f t="shared" si="41"/>
        <v>0</v>
      </c>
      <c r="AM39">
        <f t="shared" si="41"/>
        <v>0</v>
      </c>
      <c r="AN39">
        <f t="shared" si="41"/>
        <v>0</v>
      </c>
      <c r="AO39">
        <f t="shared" si="41"/>
        <v>0</v>
      </c>
      <c r="AP39">
        <f t="shared" si="41"/>
        <v>0</v>
      </c>
      <c r="AQ39">
        <f t="shared" si="41"/>
        <v>0</v>
      </c>
      <c r="AR39">
        <f t="shared" si="42"/>
        <v>0</v>
      </c>
      <c r="AS39">
        <f t="shared" si="42"/>
        <v>0</v>
      </c>
      <c r="AT39">
        <f t="shared" si="42"/>
        <v>0</v>
      </c>
      <c r="AU39">
        <f t="shared" si="42"/>
        <v>0</v>
      </c>
      <c r="AV39">
        <f t="shared" si="42"/>
        <v>0</v>
      </c>
      <c r="AW39">
        <f t="shared" si="42"/>
        <v>0</v>
      </c>
      <c r="AX39">
        <f t="shared" si="42"/>
        <v>0</v>
      </c>
      <c r="AY39">
        <f t="shared" si="42"/>
        <v>0</v>
      </c>
      <c r="AZ39" s="29"/>
      <c r="BA39">
        <f t="shared" si="13"/>
        <v>4.8000000000000029E-2</v>
      </c>
      <c r="BB39" s="48">
        <f t="shared" si="12"/>
        <v>2.4127431579569625</v>
      </c>
      <c r="BC39" s="69">
        <f t="shared" ca="1" si="4"/>
        <v>113.7123182615458</v>
      </c>
      <c r="BD39" s="69">
        <f t="shared" ca="1" si="5"/>
        <v>-76.655998992061853</v>
      </c>
      <c r="BE39" s="70">
        <f t="shared" ca="1" si="6"/>
        <v>-20.70701658839409</v>
      </c>
      <c r="BF39" s="70">
        <f t="shared" ca="1" si="7"/>
        <v>-1.5684792531624145</v>
      </c>
      <c r="BG39" s="70">
        <f t="shared" ca="1" si="8"/>
        <v>9.1715316304686869</v>
      </c>
      <c r="BH39" s="70">
        <f t="shared" ca="1" si="9"/>
        <v>0</v>
      </c>
      <c r="BI39" s="70">
        <f t="shared" ca="1" si="10"/>
        <v>0</v>
      </c>
      <c r="BJ39" s="70">
        <f t="shared" ca="1" si="11"/>
        <v>0</v>
      </c>
      <c r="BN39">
        <f>AP$25*$Z$5*MAGNET(AP$24+BB15)
+AQ$25*$Z$5*MAGNET(AQ$24+BB15)
+AR$25*$Z$5*MAGNET(AR$24+BB15)
+AS$25*$Z$5*MAGNET(AS$24+BB15)
+AT$25*$Z$5*MAGNET(AT$24+BB15)
+AU$25*$Z$5*MAGNET(AU$24+BB15)
+AV$25*$Z$5*MAGNET(AV$24+BB15)
+AW$25*$Z$5*MAGNET(AW$24+BB15)
+AX$25*$Z$5*MAGNET(AX$24+BB15)
+AY$25*$Z$5*MAGNET(AY$24+BB15)</f>
        <v>0</v>
      </c>
    </row>
    <row r="40" spans="3:66" x14ac:dyDescent="0.25">
      <c r="C40" s="22">
        <v>-2</v>
      </c>
      <c r="D40">
        <f t="shared" si="43"/>
        <v>0</v>
      </c>
      <c r="E40">
        <f t="shared" si="39"/>
        <v>0</v>
      </c>
      <c r="F40">
        <f t="shared" si="39"/>
        <v>0</v>
      </c>
      <c r="G40">
        <f t="shared" si="39"/>
        <v>0</v>
      </c>
      <c r="H40">
        <f t="shared" si="39"/>
        <v>0</v>
      </c>
      <c r="I40">
        <f t="shared" si="39"/>
        <v>0</v>
      </c>
      <c r="J40">
        <f t="shared" si="39"/>
        <v>0</v>
      </c>
      <c r="K40">
        <f t="shared" si="39"/>
        <v>0</v>
      </c>
      <c r="L40">
        <f t="shared" si="39"/>
        <v>0</v>
      </c>
      <c r="M40">
        <f t="shared" si="39"/>
        <v>0</v>
      </c>
      <c r="N40">
        <f t="shared" si="39"/>
        <v>0</v>
      </c>
      <c r="O40">
        <f t="shared" si="39"/>
        <v>0</v>
      </c>
      <c r="P40">
        <f t="shared" si="39"/>
        <v>2</v>
      </c>
      <c r="Q40">
        <f t="shared" si="39"/>
        <v>4</v>
      </c>
      <c r="R40">
        <f t="shared" si="39"/>
        <v>4</v>
      </c>
      <c r="S40">
        <f t="shared" si="39"/>
        <v>0</v>
      </c>
      <c r="T40">
        <f t="shared" si="39"/>
        <v>0</v>
      </c>
      <c r="U40">
        <f t="shared" si="40"/>
        <v>0</v>
      </c>
      <c r="V40">
        <f t="shared" si="40"/>
        <v>0</v>
      </c>
      <c r="W40">
        <f t="shared" si="40"/>
        <v>0</v>
      </c>
      <c r="X40">
        <f t="shared" si="40"/>
        <v>0</v>
      </c>
      <c r="Y40">
        <f t="shared" si="40"/>
        <v>0</v>
      </c>
      <c r="Z40">
        <f t="shared" si="40"/>
        <v>0</v>
      </c>
      <c r="AA40">
        <f t="shared" si="40"/>
        <v>0</v>
      </c>
      <c r="AB40">
        <f t="shared" si="40"/>
        <v>0</v>
      </c>
      <c r="AC40">
        <f t="shared" si="40"/>
        <v>0</v>
      </c>
      <c r="AD40">
        <f t="shared" si="40"/>
        <v>0</v>
      </c>
      <c r="AE40">
        <f t="shared" si="40"/>
        <v>2</v>
      </c>
      <c r="AF40">
        <f t="shared" si="40"/>
        <v>0</v>
      </c>
      <c r="AG40">
        <f t="shared" si="40"/>
        <v>1</v>
      </c>
      <c r="AH40">
        <f t="shared" si="41"/>
        <v>0</v>
      </c>
      <c r="AI40">
        <f t="shared" si="41"/>
        <v>0</v>
      </c>
      <c r="AJ40">
        <f t="shared" si="41"/>
        <v>0</v>
      </c>
      <c r="AK40">
        <f t="shared" si="41"/>
        <v>4</v>
      </c>
      <c r="AL40">
        <f t="shared" si="41"/>
        <v>4</v>
      </c>
      <c r="AM40">
        <f t="shared" si="41"/>
        <v>0</v>
      </c>
      <c r="AN40">
        <f t="shared" si="41"/>
        <v>0</v>
      </c>
      <c r="AO40">
        <f t="shared" si="41"/>
        <v>0</v>
      </c>
      <c r="AP40">
        <f t="shared" si="41"/>
        <v>0</v>
      </c>
      <c r="AQ40">
        <f t="shared" si="41"/>
        <v>0</v>
      </c>
      <c r="AR40">
        <f t="shared" si="42"/>
        <v>0</v>
      </c>
      <c r="AS40">
        <f t="shared" si="42"/>
        <v>0</v>
      </c>
      <c r="AT40">
        <f t="shared" si="42"/>
        <v>0</v>
      </c>
      <c r="AU40">
        <f t="shared" si="42"/>
        <v>0</v>
      </c>
      <c r="AV40">
        <f t="shared" si="42"/>
        <v>0</v>
      </c>
      <c r="AW40">
        <f t="shared" si="42"/>
        <v>0</v>
      </c>
      <c r="AX40">
        <f t="shared" si="42"/>
        <v>0</v>
      </c>
      <c r="AY40">
        <f t="shared" si="42"/>
        <v>0</v>
      </c>
      <c r="BA40">
        <f t="shared" si="13"/>
        <v>5.0000000000000031E-2</v>
      </c>
      <c r="BB40" s="48">
        <f t="shared" si="12"/>
        <v>2.5132741228718358</v>
      </c>
      <c r="BC40" s="69">
        <f t="shared" ca="1" si="4"/>
        <v>104.20775254203132</v>
      </c>
      <c r="BD40" s="69">
        <f t="shared" ca="1" si="5"/>
        <v>-81.292618060654661</v>
      </c>
      <c r="BE40" s="70">
        <f t="shared" ca="1" si="6"/>
        <v>-10.924604931838433</v>
      </c>
      <c r="BF40" s="70">
        <f t="shared" ca="1" si="7"/>
        <v>-0.52650553471842931</v>
      </c>
      <c r="BG40" s="70">
        <f t="shared" ca="1" si="8"/>
        <v>2.7126848327144231</v>
      </c>
      <c r="BH40" s="70">
        <f t="shared" ca="1" si="9"/>
        <v>0</v>
      </c>
      <c r="BI40" s="70">
        <f t="shared" ca="1" si="10"/>
        <v>0</v>
      </c>
      <c r="BJ40" s="70">
        <f t="shared" ca="1" si="11"/>
        <v>0</v>
      </c>
    </row>
    <row r="41" spans="3:66" x14ac:dyDescent="0.25">
      <c r="C41" s="22">
        <v>3</v>
      </c>
      <c r="D41">
        <f t="shared" si="43"/>
        <v>0</v>
      </c>
      <c r="E41">
        <f t="shared" si="39"/>
        <v>0</v>
      </c>
      <c r="F41">
        <f t="shared" si="39"/>
        <v>0</v>
      </c>
      <c r="G41">
        <f t="shared" si="39"/>
        <v>0</v>
      </c>
      <c r="H41">
        <f t="shared" si="39"/>
        <v>0</v>
      </c>
      <c r="I41">
        <f t="shared" si="39"/>
        <v>0</v>
      </c>
      <c r="J41">
        <f t="shared" si="39"/>
        <v>0</v>
      </c>
      <c r="K41">
        <f t="shared" si="39"/>
        <v>0</v>
      </c>
      <c r="L41">
        <f t="shared" si="39"/>
        <v>0</v>
      </c>
      <c r="M41">
        <f t="shared" si="39"/>
        <v>0</v>
      </c>
      <c r="N41">
        <f t="shared" si="39"/>
        <v>4</v>
      </c>
      <c r="O41">
        <f t="shared" si="39"/>
        <v>4</v>
      </c>
      <c r="P41">
        <f t="shared" si="39"/>
        <v>2</v>
      </c>
      <c r="Q41">
        <f t="shared" si="39"/>
        <v>0</v>
      </c>
      <c r="R41">
        <f t="shared" si="39"/>
        <v>0</v>
      </c>
      <c r="S41">
        <f t="shared" si="39"/>
        <v>0</v>
      </c>
      <c r="T41">
        <f t="shared" si="39"/>
        <v>0</v>
      </c>
      <c r="U41">
        <f t="shared" si="40"/>
        <v>0</v>
      </c>
      <c r="V41">
        <f t="shared" si="40"/>
        <v>0</v>
      </c>
      <c r="W41">
        <f t="shared" si="40"/>
        <v>0</v>
      </c>
      <c r="X41">
        <f t="shared" si="40"/>
        <v>0</v>
      </c>
      <c r="Y41">
        <f t="shared" si="40"/>
        <v>0</v>
      </c>
      <c r="Z41">
        <f t="shared" si="40"/>
        <v>0</v>
      </c>
      <c r="AA41">
        <f t="shared" si="40"/>
        <v>0</v>
      </c>
      <c r="AB41">
        <f t="shared" si="40"/>
        <v>0</v>
      </c>
      <c r="AC41">
        <f t="shared" si="40"/>
        <v>4</v>
      </c>
      <c r="AD41">
        <f t="shared" si="40"/>
        <v>4</v>
      </c>
      <c r="AE41">
        <f t="shared" si="40"/>
        <v>2</v>
      </c>
      <c r="AF41">
        <f t="shared" si="40"/>
        <v>0</v>
      </c>
      <c r="AG41">
        <f t="shared" si="40"/>
        <v>0</v>
      </c>
      <c r="AH41">
        <f t="shared" si="41"/>
        <v>4</v>
      </c>
      <c r="AI41">
        <f t="shared" si="41"/>
        <v>4</v>
      </c>
      <c r="AJ41">
        <f t="shared" si="41"/>
        <v>0</v>
      </c>
      <c r="AK41">
        <f t="shared" si="41"/>
        <v>0</v>
      </c>
      <c r="AL41">
        <f t="shared" si="41"/>
        <v>0</v>
      </c>
      <c r="AM41">
        <f t="shared" si="41"/>
        <v>0</v>
      </c>
      <c r="AN41">
        <f t="shared" si="41"/>
        <v>0</v>
      </c>
      <c r="AO41">
        <f t="shared" si="41"/>
        <v>0</v>
      </c>
      <c r="AP41">
        <f t="shared" si="41"/>
        <v>0</v>
      </c>
      <c r="AQ41">
        <f t="shared" si="41"/>
        <v>0</v>
      </c>
      <c r="AR41">
        <f t="shared" si="42"/>
        <v>0</v>
      </c>
      <c r="AS41">
        <f t="shared" si="42"/>
        <v>0</v>
      </c>
      <c r="AT41">
        <f t="shared" si="42"/>
        <v>0</v>
      </c>
      <c r="AU41">
        <f t="shared" si="42"/>
        <v>0</v>
      </c>
      <c r="AV41">
        <f t="shared" si="42"/>
        <v>0</v>
      </c>
      <c r="AW41">
        <f t="shared" si="42"/>
        <v>0</v>
      </c>
      <c r="AX41">
        <f t="shared" si="42"/>
        <v>0</v>
      </c>
      <c r="AY41">
        <f t="shared" si="42"/>
        <v>0</v>
      </c>
      <c r="AZ41" s="29"/>
      <c r="BA41">
        <f t="shared" si="13"/>
        <v>5.2000000000000032E-2</v>
      </c>
      <c r="BB41" s="48">
        <f t="shared" si="12"/>
        <v>2.6138050877867096</v>
      </c>
      <c r="BC41" s="69">
        <f t="shared" ca="1" si="4"/>
        <v>100.2639596784818</v>
      </c>
      <c r="BD41" s="69">
        <f t="shared" ca="1" si="5"/>
        <v>-82.468077707975596</v>
      </c>
      <c r="BE41" s="70">
        <f t="shared" ca="1" si="6"/>
        <v>2.4870211909520701</v>
      </c>
      <c r="BF41" s="70">
        <f t="shared" ca="1" si="7"/>
        <v>1.3605829602226529</v>
      </c>
      <c r="BG41" s="70">
        <f t="shared" ca="1" si="8"/>
        <v>-0.88363157852650831</v>
      </c>
      <c r="BH41" s="70">
        <f t="shared" ca="1" si="9"/>
        <v>0</v>
      </c>
      <c r="BI41" s="70">
        <f t="shared" ca="1" si="10"/>
        <v>0</v>
      </c>
      <c r="BJ41" s="70">
        <f t="shared" ca="1" si="11"/>
        <v>0</v>
      </c>
      <c r="BN41">
        <f>D$25*$Z$5*MAGNET(D$24+BB15)+E$25*$Z$5*MAGNET(E$24+BB15)</f>
        <v>14.211740386627234</v>
      </c>
    </row>
    <row r="42" spans="3:66" x14ac:dyDescent="0.25">
      <c r="C42" s="22">
        <v>-3</v>
      </c>
      <c r="D42">
        <f t="shared" si="43"/>
        <v>0</v>
      </c>
      <c r="E42">
        <f t="shared" si="39"/>
        <v>0</v>
      </c>
      <c r="F42">
        <f t="shared" si="39"/>
        <v>2</v>
      </c>
      <c r="G42">
        <f t="shared" si="39"/>
        <v>4</v>
      </c>
      <c r="H42">
        <f t="shared" si="39"/>
        <v>4</v>
      </c>
      <c r="I42">
        <f t="shared" si="39"/>
        <v>0</v>
      </c>
      <c r="J42">
        <f t="shared" si="39"/>
        <v>0</v>
      </c>
      <c r="K42">
        <f t="shared" si="39"/>
        <v>0</v>
      </c>
      <c r="L42">
        <f t="shared" si="39"/>
        <v>0</v>
      </c>
      <c r="M42">
        <f t="shared" si="39"/>
        <v>0</v>
      </c>
      <c r="N42">
        <f t="shared" si="39"/>
        <v>0</v>
      </c>
      <c r="O42">
        <f t="shared" si="39"/>
        <v>0</v>
      </c>
      <c r="P42">
        <f t="shared" si="39"/>
        <v>0</v>
      </c>
      <c r="Q42">
        <f t="shared" si="39"/>
        <v>0</v>
      </c>
      <c r="R42">
        <f t="shared" si="39"/>
        <v>0</v>
      </c>
      <c r="S42">
        <f t="shared" si="39"/>
        <v>0</v>
      </c>
      <c r="T42">
        <f t="shared" si="39"/>
        <v>0</v>
      </c>
      <c r="U42">
        <f t="shared" si="40"/>
        <v>2</v>
      </c>
      <c r="V42">
        <f t="shared" si="40"/>
        <v>4</v>
      </c>
      <c r="W42">
        <f t="shared" si="40"/>
        <v>4</v>
      </c>
      <c r="X42">
        <f t="shared" si="40"/>
        <v>0</v>
      </c>
      <c r="Y42">
        <f t="shared" si="40"/>
        <v>0</v>
      </c>
      <c r="Z42">
        <f t="shared" si="40"/>
        <v>0</v>
      </c>
      <c r="AA42">
        <f t="shared" si="40"/>
        <v>0</v>
      </c>
      <c r="AB42">
        <f t="shared" si="40"/>
        <v>0</v>
      </c>
      <c r="AC42">
        <f t="shared" si="40"/>
        <v>0</v>
      </c>
      <c r="AD42">
        <f t="shared" si="40"/>
        <v>0</v>
      </c>
      <c r="AE42">
        <f t="shared" si="40"/>
        <v>0</v>
      </c>
      <c r="AF42">
        <f t="shared" si="40"/>
        <v>0</v>
      </c>
      <c r="AG42">
        <f t="shared" si="40"/>
        <v>0</v>
      </c>
      <c r="AH42">
        <f t="shared" si="41"/>
        <v>0</v>
      </c>
      <c r="AI42">
        <f t="shared" si="41"/>
        <v>0</v>
      </c>
      <c r="AJ42">
        <f t="shared" si="41"/>
        <v>0</v>
      </c>
      <c r="AK42">
        <f t="shared" si="41"/>
        <v>0</v>
      </c>
      <c r="AL42">
        <f t="shared" si="41"/>
        <v>0</v>
      </c>
      <c r="AM42">
        <f t="shared" si="41"/>
        <v>0</v>
      </c>
      <c r="AN42">
        <f t="shared" si="41"/>
        <v>0</v>
      </c>
      <c r="AO42">
        <f t="shared" si="41"/>
        <v>2</v>
      </c>
      <c r="AP42">
        <f t="shared" si="41"/>
        <v>0</v>
      </c>
      <c r="AQ42">
        <f t="shared" si="41"/>
        <v>0</v>
      </c>
      <c r="AR42">
        <f t="shared" si="42"/>
        <v>0</v>
      </c>
      <c r="AS42">
        <f t="shared" si="42"/>
        <v>0</v>
      </c>
      <c r="AT42">
        <f t="shared" si="42"/>
        <v>0</v>
      </c>
      <c r="AU42">
        <f t="shared" si="42"/>
        <v>0</v>
      </c>
      <c r="AV42">
        <f t="shared" si="42"/>
        <v>0</v>
      </c>
      <c r="AW42">
        <f t="shared" si="42"/>
        <v>0</v>
      </c>
      <c r="AX42">
        <f t="shared" si="42"/>
        <v>0</v>
      </c>
      <c r="AY42">
        <f t="shared" si="42"/>
        <v>0</v>
      </c>
      <c r="BA42">
        <f t="shared" si="13"/>
        <v>5.4000000000000034E-2</v>
      </c>
      <c r="BB42" s="48">
        <f t="shared" si="12"/>
        <v>2.714336052701583</v>
      </c>
      <c r="BC42" s="69">
        <f t="shared" ca="1" si="4"/>
        <v>93.361654522636243</v>
      </c>
      <c r="BD42" s="69">
        <f t="shared" ca="1" si="5"/>
        <v>-83.427103667756157</v>
      </c>
      <c r="BE42" s="70">
        <f t="shared" ca="1" si="6"/>
        <v>15.284463415848624</v>
      </c>
      <c r="BF42" s="70">
        <f t="shared" ca="1" si="7"/>
        <v>1.9433471276550323</v>
      </c>
      <c r="BG42" s="70">
        <f t="shared" ca="1" si="8"/>
        <v>-8.3064726999694347</v>
      </c>
      <c r="BH42" s="70">
        <f t="shared" ca="1" si="9"/>
        <v>0</v>
      </c>
      <c r="BI42" s="70">
        <f t="shared" ca="1" si="10"/>
        <v>0</v>
      </c>
      <c r="BJ42" s="70">
        <f t="shared" ca="1" si="11"/>
        <v>0</v>
      </c>
    </row>
    <row r="43" spans="3:66" x14ac:dyDescent="0.25">
      <c r="C43" s="22">
        <v>4</v>
      </c>
      <c r="D43">
        <f t="shared" si="43"/>
        <v>0</v>
      </c>
      <c r="E43">
        <f t="shared" si="39"/>
        <v>0</v>
      </c>
      <c r="F43">
        <f t="shared" si="39"/>
        <v>0</v>
      </c>
      <c r="G43">
        <f t="shared" si="39"/>
        <v>0</v>
      </c>
      <c r="H43">
        <f t="shared" si="39"/>
        <v>0</v>
      </c>
      <c r="I43">
        <f t="shared" si="39"/>
        <v>0</v>
      </c>
      <c r="J43">
        <f t="shared" si="39"/>
        <v>0</v>
      </c>
      <c r="K43">
        <f t="shared" si="39"/>
        <v>0</v>
      </c>
      <c r="L43">
        <f t="shared" si="39"/>
        <v>0</v>
      </c>
      <c r="M43">
        <f t="shared" si="39"/>
        <v>0</v>
      </c>
      <c r="N43">
        <f t="shared" si="39"/>
        <v>0</v>
      </c>
      <c r="O43">
        <f t="shared" si="39"/>
        <v>0</v>
      </c>
      <c r="P43">
        <f t="shared" si="39"/>
        <v>0</v>
      </c>
      <c r="Q43">
        <f t="shared" si="39"/>
        <v>0</v>
      </c>
      <c r="R43">
        <f t="shared" si="39"/>
        <v>0</v>
      </c>
      <c r="S43">
        <f t="shared" si="39"/>
        <v>0</v>
      </c>
      <c r="T43">
        <f t="shared" si="39"/>
        <v>0</v>
      </c>
      <c r="U43">
        <f t="shared" si="40"/>
        <v>0</v>
      </c>
      <c r="V43">
        <f t="shared" si="40"/>
        <v>0</v>
      </c>
      <c r="W43">
        <f t="shared" si="40"/>
        <v>0</v>
      </c>
      <c r="X43">
        <f t="shared" si="40"/>
        <v>0</v>
      </c>
      <c r="Y43">
        <f t="shared" si="40"/>
        <v>0</v>
      </c>
      <c r="Z43">
        <f t="shared" si="40"/>
        <v>0</v>
      </c>
      <c r="AA43">
        <f t="shared" si="40"/>
        <v>0</v>
      </c>
      <c r="AB43">
        <f t="shared" si="40"/>
        <v>0</v>
      </c>
      <c r="AC43">
        <f t="shared" si="40"/>
        <v>0</v>
      </c>
      <c r="AD43">
        <f t="shared" si="40"/>
        <v>0</v>
      </c>
      <c r="AE43">
        <f t="shared" si="40"/>
        <v>0</v>
      </c>
      <c r="AF43">
        <f t="shared" si="40"/>
        <v>0</v>
      </c>
      <c r="AG43">
        <f t="shared" si="40"/>
        <v>0</v>
      </c>
      <c r="AH43">
        <f t="shared" si="41"/>
        <v>0</v>
      </c>
      <c r="AI43">
        <f t="shared" si="41"/>
        <v>0</v>
      </c>
      <c r="AJ43">
        <f t="shared" si="41"/>
        <v>4</v>
      </c>
      <c r="AK43">
        <f t="shared" si="41"/>
        <v>0</v>
      </c>
      <c r="AL43">
        <f t="shared" si="41"/>
        <v>0</v>
      </c>
      <c r="AM43">
        <f t="shared" si="41"/>
        <v>0</v>
      </c>
      <c r="AN43">
        <f t="shared" si="41"/>
        <v>0</v>
      </c>
      <c r="AO43">
        <f t="shared" si="41"/>
        <v>0</v>
      </c>
      <c r="AP43">
        <f t="shared" si="41"/>
        <v>0</v>
      </c>
      <c r="AQ43">
        <f t="shared" si="41"/>
        <v>0</v>
      </c>
      <c r="AR43">
        <f t="shared" si="42"/>
        <v>0</v>
      </c>
      <c r="AS43">
        <f t="shared" si="42"/>
        <v>0</v>
      </c>
      <c r="AT43">
        <f t="shared" si="42"/>
        <v>0</v>
      </c>
      <c r="AU43">
        <f t="shared" si="42"/>
        <v>0</v>
      </c>
      <c r="AV43">
        <f t="shared" si="42"/>
        <v>0</v>
      </c>
      <c r="AW43">
        <f t="shared" si="42"/>
        <v>0</v>
      </c>
      <c r="AX43">
        <f t="shared" si="42"/>
        <v>0</v>
      </c>
      <c r="AY43">
        <f t="shared" si="42"/>
        <v>0</v>
      </c>
      <c r="AZ43" s="29"/>
      <c r="BA43">
        <f t="shared" si="13"/>
        <v>5.6000000000000036E-2</v>
      </c>
      <c r="BB43" s="48">
        <f t="shared" si="12"/>
        <v>2.8148670176164563</v>
      </c>
      <c r="BC43" s="69">
        <f t="shared" ca="1" si="4"/>
        <v>79.402667171818464</v>
      </c>
      <c r="BD43" s="69">
        <f t="shared" ca="1" si="5"/>
        <v>-86.116245623073084</v>
      </c>
      <c r="BE43" s="70">
        <f t="shared" ca="1" si="6"/>
        <v>31.331678958417214</v>
      </c>
      <c r="BF43" s="70">
        <f t="shared" ca="1" si="7"/>
        <v>3.2955478236775138</v>
      </c>
      <c r="BG43" s="70">
        <f t="shared" ca="1" si="8"/>
        <v>-11.763776099654903</v>
      </c>
      <c r="BH43" s="70">
        <f t="shared" ca="1" si="9"/>
        <v>0</v>
      </c>
      <c r="BI43" s="70">
        <f t="shared" ca="1" si="10"/>
        <v>0</v>
      </c>
      <c r="BJ43" s="70">
        <f t="shared" ca="1" si="11"/>
        <v>0</v>
      </c>
    </row>
    <row r="44" spans="3:66" x14ac:dyDescent="0.25">
      <c r="C44" s="22">
        <v>-4</v>
      </c>
      <c r="D44">
        <f t="shared" si="43"/>
        <v>0</v>
      </c>
      <c r="E44">
        <f t="shared" si="39"/>
        <v>0</v>
      </c>
      <c r="F44">
        <f t="shared" si="39"/>
        <v>0</v>
      </c>
      <c r="G44">
        <f t="shared" si="39"/>
        <v>0</v>
      </c>
      <c r="H44">
        <f t="shared" si="39"/>
        <v>0</v>
      </c>
      <c r="I44">
        <f t="shared" si="39"/>
        <v>0</v>
      </c>
      <c r="J44">
        <f t="shared" si="39"/>
        <v>0</v>
      </c>
      <c r="K44">
        <f t="shared" si="39"/>
        <v>0</v>
      </c>
      <c r="L44">
        <f t="shared" si="39"/>
        <v>0</v>
      </c>
      <c r="M44">
        <f t="shared" si="39"/>
        <v>0</v>
      </c>
      <c r="N44">
        <f t="shared" si="39"/>
        <v>0</v>
      </c>
      <c r="O44">
        <f t="shared" si="39"/>
        <v>0</v>
      </c>
      <c r="P44">
        <f t="shared" si="39"/>
        <v>0</v>
      </c>
      <c r="Q44">
        <f t="shared" si="39"/>
        <v>0</v>
      </c>
      <c r="R44">
        <f t="shared" si="39"/>
        <v>0</v>
      </c>
      <c r="S44">
        <f t="shared" si="39"/>
        <v>0</v>
      </c>
      <c r="T44">
        <f t="shared" si="39"/>
        <v>0</v>
      </c>
      <c r="U44">
        <f t="shared" si="40"/>
        <v>0</v>
      </c>
      <c r="V44">
        <f t="shared" si="40"/>
        <v>0</v>
      </c>
      <c r="W44">
        <f t="shared" si="40"/>
        <v>0</v>
      </c>
      <c r="X44">
        <f t="shared" si="40"/>
        <v>0</v>
      </c>
      <c r="Y44">
        <f t="shared" si="40"/>
        <v>0</v>
      </c>
      <c r="Z44">
        <f t="shared" si="40"/>
        <v>0</v>
      </c>
      <c r="AA44">
        <f t="shared" si="40"/>
        <v>0</v>
      </c>
      <c r="AB44">
        <f t="shared" si="40"/>
        <v>0</v>
      </c>
      <c r="AC44">
        <f t="shared" si="40"/>
        <v>0</v>
      </c>
      <c r="AD44">
        <f t="shared" si="40"/>
        <v>0</v>
      </c>
      <c r="AE44">
        <f t="shared" si="40"/>
        <v>0</v>
      </c>
      <c r="AF44">
        <f t="shared" si="40"/>
        <v>0</v>
      </c>
      <c r="AG44">
        <f t="shared" si="40"/>
        <v>0</v>
      </c>
      <c r="AH44">
        <f t="shared" si="41"/>
        <v>0</v>
      </c>
      <c r="AI44">
        <f t="shared" si="41"/>
        <v>0</v>
      </c>
      <c r="AJ44">
        <f t="shared" si="41"/>
        <v>0</v>
      </c>
      <c r="AK44">
        <f t="shared" si="41"/>
        <v>0</v>
      </c>
      <c r="AL44">
        <f t="shared" si="41"/>
        <v>0</v>
      </c>
      <c r="AM44">
        <f t="shared" si="41"/>
        <v>0</v>
      </c>
      <c r="AN44">
        <f t="shared" si="41"/>
        <v>4</v>
      </c>
      <c r="AO44">
        <f t="shared" si="41"/>
        <v>0</v>
      </c>
      <c r="AP44">
        <f t="shared" si="41"/>
        <v>0</v>
      </c>
      <c r="AQ44">
        <f t="shared" si="41"/>
        <v>0</v>
      </c>
      <c r="AR44">
        <f t="shared" si="42"/>
        <v>0</v>
      </c>
      <c r="AS44">
        <f t="shared" si="42"/>
        <v>0</v>
      </c>
      <c r="AT44">
        <f t="shared" si="42"/>
        <v>0</v>
      </c>
      <c r="AU44">
        <f t="shared" si="42"/>
        <v>0</v>
      </c>
      <c r="AV44">
        <f t="shared" si="42"/>
        <v>0</v>
      </c>
      <c r="AW44">
        <f t="shared" si="42"/>
        <v>0</v>
      </c>
      <c r="AX44">
        <f t="shared" si="42"/>
        <v>0</v>
      </c>
      <c r="AY44">
        <f t="shared" si="42"/>
        <v>0</v>
      </c>
      <c r="BA44">
        <f t="shared" si="13"/>
        <v>5.8000000000000038E-2</v>
      </c>
      <c r="BB44" s="48">
        <f t="shared" si="12"/>
        <v>2.9153979825313301</v>
      </c>
      <c r="BC44" s="69">
        <f t="shared" ca="1" si="4"/>
        <v>72.533589012117616</v>
      </c>
      <c r="BD44" s="69">
        <f t="shared" ca="1" si="5"/>
        <v>-85.667630502274747</v>
      </c>
      <c r="BE44" s="70">
        <f t="shared" ca="1" si="6"/>
        <v>36.311918935349766</v>
      </c>
      <c r="BF44" s="70">
        <f t="shared" ca="1" si="7"/>
        <v>4.7403893146886968</v>
      </c>
      <c r="BG44" s="70">
        <f t="shared" ca="1" si="8"/>
        <v>-18.721927373518909</v>
      </c>
      <c r="BH44" s="70">
        <f t="shared" ca="1" si="9"/>
        <v>0</v>
      </c>
      <c r="BI44" s="70">
        <f t="shared" ca="1" si="10"/>
        <v>0</v>
      </c>
      <c r="BJ44" s="70">
        <f t="shared" ca="1" si="11"/>
        <v>0</v>
      </c>
    </row>
    <row r="45" spans="3:66" x14ac:dyDescent="0.25">
      <c r="C45" s="22">
        <v>5</v>
      </c>
      <c r="D45">
        <f t="shared" si="43"/>
        <v>0</v>
      </c>
      <c r="E45">
        <f t="shared" si="39"/>
        <v>0</v>
      </c>
      <c r="F45">
        <f t="shared" si="39"/>
        <v>0</v>
      </c>
      <c r="G45">
        <f t="shared" si="39"/>
        <v>0</v>
      </c>
      <c r="H45">
        <f t="shared" si="39"/>
        <v>0</v>
      </c>
      <c r="I45">
        <f t="shared" si="39"/>
        <v>0</v>
      </c>
      <c r="J45">
        <f t="shared" si="39"/>
        <v>0</v>
      </c>
      <c r="K45">
        <f t="shared" si="39"/>
        <v>0</v>
      </c>
      <c r="L45">
        <f t="shared" si="39"/>
        <v>0</v>
      </c>
      <c r="M45">
        <f t="shared" si="39"/>
        <v>0</v>
      </c>
      <c r="N45">
        <f t="shared" si="39"/>
        <v>0</v>
      </c>
      <c r="O45">
        <f t="shared" si="39"/>
        <v>0</v>
      </c>
      <c r="P45">
        <f t="shared" si="39"/>
        <v>0</v>
      </c>
      <c r="Q45">
        <f t="shared" si="39"/>
        <v>0</v>
      </c>
      <c r="R45">
        <f t="shared" si="39"/>
        <v>0</v>
      </c>
      <c r="S45">
        <f t="shared" si="39"/>
        <v>0</v>
      </c>
      <c r="T45">
        <f t="shared" si="39"/>
        <v>0</v>
      </c>
      <c r="U45">
        <f t="shared" si="40"/>
        <v>0</v>
      </c>
      <c r="V45">
        <f t="shared" si="40"/>
        <v>0</v>
      </c>
      <c r="W45">
        <f t="shared" si="40"/>
        <v>0</v>
      </c>
      <c r="X45">
        <f t="shared" si="40"/>
        <v>4</v>
      </c>
      <c r="Y45">
        <f t="shared" si="40"/>
        <v>4</v>
      </c>
      <c r="Z45">
        <f t="shared" si="40"/>
        <v>0</v>
      </c>
      <c r="AA45">
        <f t="shared" si="40"/>
        <v>0</v>
      </c>
      <c r="AB45">
        <f t="shared" si="40"/>
        <v>0</v>
      </c>
      <c r="AC45">
        <f t="shared" si="40"/>
        <v>0</v>
      </c>
      <c r="AD45">
        <f t="shared" si="40"/>
        <v>0</v>
      </c>
      <c r="AE45">
        <f t="shared" si="40"/>
        <v>0</v>
      </c>
      <c r="AF45">
        <f t="shared" si="40"/>
        <v>0</v>
      </c>
      <c r="AG45">
        <f t="shared" si="40"/>
        <v>0</v>
      </c>
      <c r="AH45">
        <f t="shared" si="41"/>
        <v>0</v>
      </c>
      <c r="AI45">
        <f t="shared" si="41"/>
        <v>0</v>
      </c>
      <c r="AJ45">
        <f t="shared" si="41"/>
        <v>0</v>
      </c>
      <c r="AK45">
        <f t="shared" si="41"/>
        <v>0</v>
      </c>
      <c r="AL45">
        <f t="shared" si="41"/>
        <v>0</v>
      </c>
      <c r="AM45">
        <f t="shared" si="41"/>
        <v>0</v>
      </c>
      <c r="AN45">
        <f t="shared" si="41"/>
        <v>0</v>
      </c>
      <c r="AO45">
        <f t="shared" si="41"/>
        <v>0</v>
      </c>
      <c r="AP45">
        <f t="shared" si="41"/>
        <v>0</v>
      </c>
      <c r="AQ45">
        <f t="shared" si="41"/>
        <v>0</v>
      </c>
      <c r="AR45">
        <f t="shared" si="42"/>
        <v>0</v>
      </c>
      <c r="AS45">
        <f t="shared" si="42"/>
        <v>0</v>
      </c>
      <c r="AT45">
        <f t="shared" si="42"/>
        <v>0</v>
      </c>
      <c r="AU45">
        <f t="shared" si="42"/>
        <v>0</v>
      </c>
      <c r="AV45">
        <f t="shared" si="42"/>
        <v>0</v>
      </c>
      <c r="AW45">
        <f t="shared" si="42"/>
        <v>0</v>
      </c>
      <c r="AX45">
        <f t="shared" si="42"/>
        <v>0</v>
      </c>
      <c r="AY45">
        <f t="shared" si="42"/>
        <v>0</v>
      </c>
      <c r="AZ45" s="29"/>
      <c r="BA45">
        <f t="shared" si="13"/>
        <v>6.0000000000000039E-2</v>
      </c>
      <c r="BB45" s="48">
        <f t="shared" si="12"/>
        <v>3.0159289474462034</v>
      </c>
      <c r="BC45" s="69">
        <f t="shared" ca="1" si="4"/>
        <v>64.272233582100782</v>
      </c>
      <c r="BD45" s="69">
        <f t="shared" ca="1" si="5"/>
        <v>-88.039953147066626</v>
      </c>
      <c r="BE45" s="70">
        <f t="shared" ca="1" si="6"/>
        <v>54.095689637163829</v>
      </c>
      <c r="BF45" s="70">
        <f t="shared" ca="1" si="7"/>
        <v>5.8993181550085607</v>
      </c>
      <c r="BG45" s="70">
        <f t="shared" ca="1" si="8"/>
        <v>-22.195739529098777</v>
      </c>
      <c r="BH45" s="70">
        <f t="shared" ca="1" si="9"/>
        <v>0</v>
      </c>
      <c r="BI45" s="70">
        <f t="shared" ca="1" si="10"/>
        <v>0</v>
      </c>
      <c r="BJ45" s="70">
        <f t="shared" ca="1" si="11"/>
        <v>0</v>
      </c>
    </row>
    <row r="46" spans="3:66" x14ac:dyDescent="0.25">
      <c r="C46" s="22">
        <v>-5</v>
      </c>
      <c r="D46">
        <f t="shared" si="43"/>
        <v>0</v>
      </c>
      <c r="E46">
        <f t="shared" si="39"/>
        <v>0</v>
      </c>
      <c r="F46">
        <f t="shared" si="39"/>
        <v>0</v>
      </c>
      <c r="G46">
        <f t="shared" si="39"/>
        <v>0</v>
      </c>
      <c r="H46">
        <f t="shared" si="39"/>
        <v>0</v>
      </c>
      <c r="I46">
        <f t="shared" si="39"/>
        <v>0</v>
      </c>
      <c r="J46">
        <f t="shared" si="39"/>
        <v>0</v>
      </c>
      <c r="K46">
        <f t="shared" si="39"/>
        <v>0</v>
      </c>
      <c r="L46">
        <f t="shared" si="39"/>
        <v>0</v>
      </c>
      <c r="M46">
        <f t="shared" si="39"/>
        <v>0</v>
      </c>
      <c r="N46">
        <f t="shared" si="39"/>
        <v>0</v>
      </c>
      <c r="O46">
        <f t="shared" si="39"/>
        <v>0</v>
      </c>
      <c r="P46">
        <f t="shared" si="39"/>
        <v>0</v>
      </c>
      <c r="Q46">
        <f t="shared" si="39"/>
        <v>0</v>
      </c>
      <c r="R46">
        <f t="shared" si="39"/>
        <v>0</v>
      </c>
      <c r="S46">
        <f t="shared" si="39"/>
        <v>0</v>
      </c>
      <c r="T46">
        <f t="shared" si="39"/>
        <v>0</v>
      </c>
      <c r="U46">
        <f t="shared" si="40"/>
        <v>0</v>
      </c>
      <c r="V46">
        <f t="shared" si="40"/>
        <v>0</v>
      </c>
      <c r="W46">
        <f t="shared" si="40"/>
        <v>0</v>
      </c>
      <c r="X46">
        <f t="shared" si="40"/>
        <v>0</v>
      </c>
      <c r="Y46">
        <f t="shared" si="40"/>
        <v>0</v>
      </c>
      <c r="Z46">
        <f t="shared" si="40"/>
        <v>0</v>
      </c>
      <c r="AA46">
        <f t="shared" si="40"/>
        <v>0</v>
      </c>
      <c r="AB46">
        <f t="shared" si="40"/>
        <v>0</v>
      </c>
      <c r="AC46">
        <f t="shared" si="40"/>
        <v>0</v>
      </c>
      <c r="AD46">
        <f t="shared" si="40"/>
        <v>0</v>
      </c>
      <c r="AE46">
        <f t="shared" si="40"/>
        <v>0</v>
      </c>
      <c r="AF46">
        <f t="shared" si="40"/>
        <v>4</v>
      </c>
      <c r="AG46">
        <f t="shared" si="40"/>
        <v>3</v>
      </c>
      <c r="AH46">
        <f t="shared" si="41"/>
        <v>0</v>
      </c>
      <c r="AI46">
        <f t="shared" si="41"/>
        <v>0</v>
      </c>
      <c r="AJ46">
        <f t="shared" si="41"/>
        <v>0</v>
      </c>
      <c r="AK46">
        <f t="shared" si="41"/>
        <v>0</v>
      </c>
      <c r="AL46">
        <f t="shared" si="41"/>
        <v>0</v>
      </c>
      <c r="AM46">
        <f t="shared" si="41"/>
        <v>0</v>
      </c>
      <c r="AN46">
        <f t="shared" si="41"/>
        <v>0</v>
      </c>
      <c r="AO46">
        <f t="shared" si="41"/>
        <v>0</v>
      </c>
      <c r="AP46">
        <f t="shared" si="41"/>
        <v>0</v>
      </c>
      <c r="AQ46">
        <f t="shared" si="41"/>
        <v>0</v>
      </c>
      <c r="AR46">
        <f t="shared" si="42"/>
        <v>0</v>
      </c>
      <c r="AS46">
        <f t="shared" si="42"/>
        <v>0</v>
      </c>
      <c r="AT46">
        <f t="shared" si="42"/>
        <v>0</v>
      </c>
      <c r="AU46">
        <f t="shared" si="42"/>
        <v>0</v>
      </c>
      <c r="AV46">
        <f t="shared" si="42"/>
        <v>0</v>
      </c>
      <c r="AW46">
        <f t="shared" si="42"/>
        <v>0</v>
      </c>
      <c r="AX46">
        <f t="shared" si="42"/>
        <v>0</v>
      </c>
      <c r="AY46">
        <f t="shared" si="42"/>
        <v>0</v>
      </c>
      <c r="BA46">
        <f t="shared" si="13"/>
        <v>6.2000000000000041E-2</v>
      </c>
      <c r="BB46" s="48">
        <f t="shared" si="12"/>
        <v>3.1164599123610768</v>
      </c>
      <c r="BC46" s="69">
        <f t="shared" ca="1" si="4"/>
        <v>50.636719771388812</v>
      </c>
      <c r="BD46" s="69">
        <f t="shared" ca="1" si="5"/>
        <v>-86.995804211466549</v>
      </c>
      <c r="BE46" s="70">
        <f t="shared" ca="1" si="6"/>
        <v>60.521163102789444</v>
      </c>
      <c r="BF46" s="70">
        <f t="shared" ca="1" si="7"/>
        <v>8.0417578838835606</v>
      </c>
      <c r="BG46" s="70">
        <f t="shared" ca="1" si="8"/>
        <v>-26.875793270746794</v>
      </c>
      <c r="BH46" s="70">
        <f t="shared" ca="1" si="9"/>
        <v>0</v>
      </c>
      <c r="BI46" s="70">
        <f t="shared" ca="1" si="10"/>
        <v>0</v>
      </c>
      <c r="BJ46" s="70">
        <f t="shared" ca="1" si="11"/>
        <v>0</v>
      </c>
    </row>
    <row r="47" spans="3:66" x14ac:dyDescent="0.25">
      <c r="C47" s="22">
        <v>6</v>
      </c>
      <c r="D47">
        <f t="shared" si="43"/>
        <v>0</v>
      </c>
      <c r="E47">
        <f t="shared" si="39"/>
        <v>0</v>
      </c>
      <c r="F47">
        <f t="shared" si="39"/>
        <v>0</v>
      </c>
      <c r="G47">
        <f t="shared" si="39"/>
        <v>0</v>
      </c>
      <c r="H47">
        <f t="shared" si="39"/>
        <v>0</v>
      </c>
      <c r="I47">
        <f t="shared" si="39"/>
        <v>0</v>
      </c>
      <c r="J47">
        <f t="shared" si="39"/>
        <v>0</v>
      </c>
      <c r="K47">
        <f t="shared" si="39"/>
        <v>0</v>
      </c>
      <c r="L47">
        <f t="shared" si="39"/>
        <v>0</v>
      </c>
      <c r="M47">
        <f t="shared" si="39"/>
        <v>0</v>
      </c>
      <c r="N47">
        <f t="shared" si="39"/>
        <v>0</v>
      </c>
      <c r="O47">
        <f t="shared" si="39"/>
        <v>0</v>
      </c>
      <c r="P47">
        <f t="shared" si="39"/>
        <v>0</v>
      </c>
      <c r="Q47">
        <f t="shared" si="39"/>
        <v>0</v>
      </c>
      <c r="R47">
        <f t="shared" si="39"/>
        <v>0</v>
      </c>
      <c r="S47">
        <f t="shared" si="39"/>
        <v>0</v>
      </c>
      <c r="T47">
        <f t="shared" si="39"/>
        <v>0</v>
      </c>
      <c r="U47">
        <f t="shared" si="40"/>
        <v>0</v>
      </c>
      <c r="V47">
        <f t="shared" si="40"/>
        <v>0</v>
      </c>
      <c r="W47">
        <f t="shared" si="40"/>
        <v>0</v>
      </c>
      <c r="X47">
        <f t="shared" si="40"/>
        <v>0</v>
      </c>
      <c r="Y47">
        <f t="shared" si="40"/>
        <v>0</v>
      </c>
      <c r="Z47">
        <f t="shared" si="40"/>
        <v>0</v>
      </c>
      <c r="AA47">
        <f t="shared" si="40"/>
        <v>0</v>
      </c>
      <c r="AB47">
        <f t="shared" si="40"/>
        <v>0</v>
      </c>
      <c r="AC47">
        <f t="shared" si="40"/>
        <v>0</v>
      </c>
      <c r="AD47">
        <f t="shared" si="40"/>
        <v>0</v>
      </c>
      <c r="AE47">
        <f t="shared" si="40"/>
        <v>0</v>
      </c>
      <c r="AF47">
        <f t="shared" si="40"/>
        <v>0</v>
      </c>
      <c r="AG47">
        <f t="shared" si="40"/>
        <v>0</v>
      </c>
      <c r="AH47">
        <f t="shared" si="41"/>
        <v>0</v>
      </c>
      <c r="AI47">
        <f t="shared" si="41"/>
        <v>0</v>
      </c>
      <c r="AJ47">
        <f t="shared" si="41"/>
        <v>0</v>
      </c>
      <c r="AK47">
        <f t="shared" si="41"/>
        <v>0</v>
      </c>
      <c r="AL47">
        <f t="shared" si="41"/>
        <v>0</v>
      </c>
      <c r="AM47">
        <f t="shared" si="41"/>
        <v>0</v>
      </c>
      <c r="AN47">
        <f t="shared" si="41"/>
        <v>0</v>
      </c>
      <c r="AO47">
        <f t="shared" si="41"/>
        <v>0</v>
      </c>
      <c r="AP47">
        <f t="shared" si="41"/>
        <v>0</v>
      </c>
      <c r="AQ47">
        <f t="shared" si="41"/>
        <v>0</v>
      </c>
      <c r="AR47">
        <f t="shared" si="42"/>
        <v>0</v>
      </c>
      <c r="AS47">
        <f t="shared" si="42"/>
        <v>0</v>
      </c>
      <c r="AT47">
        <f t="shared" si="42"/>
        <v>0</v>
      </c>
      <c r="AU47">
        <f t="shared" si="42"/>
        <v>0</v>
      </c>
      <c r="AV47">
        <f t="shared" si="42"/>
        <v>0</v>
      </c>
      <c r="AW47">
        <f t="shared" si="42"/>
        <v>0</v>
      </c>
      <c r="AX47">
        <f t="shared" si="42"/>
        <v>0</v>
      </c>
      <c r="AY47">
        <f t="shared" si="42"/>
        <v>0</v>
      </c>
      <c r="AZ47" s="29"/>
      <c r="BA47">
        <f t="shared" si="13"/>
        <v>6.4000000000000043E-2</v>
      </c>
      <c r="BB47" s="48">
        <f t="shared" si="12"/>
        <v>3.2169908772759501</v>
      </c>
      <c r="BC47" s="69">
        <f t="shared" ref="BC47:BC78" ca="1" si="44">D$25*$Z$5*MAGNET(D$24+BB47)+E$25*$Z$5*MAGNET(E$24+BB47)+F$25*$Z$5*MAGNET(F$24+BB47)+G$25*$Z$5*MAGNET(G$24+BB47)+H$25*$Z$5*MAGNET(H$24+BB47)+I$25*$Z$5*MAGNET(I$24+BB47)+J$25*$Z$5*MAGNET(J$24+BB47)+K$25*$Z$5*MAGNET(K$24+BB47)+L$25*$Z$5*MAGNET(L$24+BB47)+M$25*$Z$5*MAGNET(M$24+BB47)+N$25*$Z$5*MAGNET(N$24+BB47)+O$25*$Z$5*MAGNET(O$24+BB47)+P$25*$Z$5*MAGNET(P$24+BB47)+Q$25*$Z$5*MAGNET(Q$24+BB47)+R$25*$Z$5*MAGNET(R$24+BB47)+S$25*$Z$5*MAGNET(S$24+BB47)+T$25*$Z$5*MAGNET(T$24+BB47)+U$25*$Z$5*MAGNET(U$24+BB47)+V$25*$Z$5*MAGNET(V$24+BB47)+W$25*$Z$5*MAGNET(W$24+BB47)+X$25*$Z$5*MAGNET(X$24+BB47)+Y$25*$Z$5*MAGNET(Y$24+BB47)+Z$25*$Z$5*MAGNET(Z$24+BB47)+AA$25*$Z$5*MAGNET(AA$24+BB47)+AB$25*$Z$5*MAGNET(AB$24+BB47)+AC$25*$Z$5*MAGNET(AC$24+BB47)+AD$25*$Z$5*MAGNET(AD$24+BB47)+AE$25*$Z$5*MAGNET(AE$24+BB47)+AF$25*$Z$5*MAGNET(AF$24+BB47)+AG$25*$Z$5*MAGNET(AG$24+BB47)+AH$25*$Z$5*MAGNET(AH$24+BB47) +AI$25*$Z$5*MAGNET(AI$24+BB47) +AJ$25*$Z$5*MAGNET(AJ$24+BB47) +AK$25*$Z$5*MAGNET(AK$24+BB47) +AL$25*$Z$5*MAGNET(AL$24+BB47) +AM$25*$Z$5*MAGNET(AM$24+BB47) +AN$25*$Z$5*MAGNET(AN$24+BB47) +AO$25*$Z$5*MAGNET(AO$24+BB47)+RAND()*$BC$13+AP$25*$Z$5*MAGNET(AP$24+BB47)
+AQ$25*$Z$5*MAGNET(AQ$24+BB47)
+AR$25*$Z$5*MAGNET(AR$24+BB47)
+AS$25*$Z$5*MAGNET(AS$24+BB47)
+AT$25*$Z$5*MAGNET(AT$24+BB47)
+AU$25*$Z$5*MAGNET(AU$24+BB47)
+AV$25*$Z$5*MAGNET(AV$24+BB47)
+AW$25*$Z$5*MAGNET(AW$24+BB47)
+AX$25*$Z$5*MAGNET(AX$24+BB47)
+AY$25*$Z$5*MAGNET(AY$24+BB47)</f>
        <v>42.500896008965753</v>
      </c>
      <c r="BD47" s="69">
        <f t="shared" ref="BD47:BD78" ca="1" si="45">E$26*$Z$5*MAGNET(E$24+$BB47)+F$26*$Z$5*MAGNET(F$24+$BB47)+G$26*$Z$5*MAGNET(G$24+$BB47)+H$26*$Z$5*MAGNET(H$24+$BB47)+I$26*$Z$5*MAGNET(I$24+$BB47)+J$26*$Z$5*MAGNET(J$24+$BB47)+K$26*$Z$5*MAGNET(K$24+$BB47)+L$26*$Z$5*MAGNET(L$24+$BB47)+M$26*$Z$5*MAGNET(M$24+$BB47)+N$26*$Z$5*MAGNET(N$24+$BB47)+O$26*$Z$5*MAGNET(O$24+$BB47)+P$26*$Z$5*MAGNET(P$24+$BB47)+Q$26*$Z$5*MAGNET(Q$24+$BB47)+R$26*$Z$5*MAGNET(R$24+$BB47)+S$26*$Z$5*MAGNET(S$24+$BB47)+T$26*$Z$5*MAGNET(T$24+$BB47)+U$26*$Z$5*MAGNET(U$24+$BB47)+V$26*$Z$5*MAGNET(V$24+$BB47)+W$26*$Z$5*MAGNET(W$24+$BB47)+X$26*$Z$5*MAGNET(X$24+$BB47)+Y$26*$Z$5*MAGNET(Y$24+$BB47)+Z$26*$Z$5*MAGNET(Z$24+$BB47)+AA$26*$Z$5*MAGNET(AA$24+$BB47)+AB$26*$Z$5*MAGNET(AB$24+$BB47)+AC$26*$Z$5*MAGNET(AC$24+$BB47)+AD$26*$Z$5*MAGNET(AD$24+$BB47)+AE$26*$Z$5*MAGNET(AE$24+$BB47)+AF$26*$Z$5*MAGNET(AF$24+$BB47)+AG$26*$Z$5*MAGNET(AG$24+$BB47)+D$26*$Z$5*MAGNET(D$24+$BB47)+AH$26*$Z$5*MAGNET(AH$24+BB47) +AI$26*$Z$5*MAGNET(AI$24+BB47) +AJ$26*$Z$5*MAGNET(AJ$24+BB47) +AK$26*$Z$5*MAGNET(AK$24+BB47) +AL$26*$Z$5*MAGNET(AL$24+BB47) +AM$26*$Z$5*MAGNET(AM$24+BB47) +AN$26*$Z$5*MAGNET(AN$24+BB47) +AO$26*$Z$5*MAGNET(AO$24+BB47) +AP$26*$Z$5*MAGNET(AP$24+$BB47)
+AQ$26*$Z$5*MAGNET(AQ$24+$BB47)
+AR$26*$Z$5*MAGNET(AR$24+$BB47)
+AS$26*$Z$5*MAGNET(AS$24+$BB47)
+AT$26*$Z$5*MAGNET(AT$24+$BB47)
+AU$26*$Z$5*MAGNET(AU$24+$BB47)
+AV$26*$Z$5*MAGNET(AV$24+$BB47)
+AW$26*$Z$5*MAGNET(AW$24+$BB47)
+AX$26*$Z$5*MAGNET(AX$24+$BB47)
+AY$26*$Z$5*MAGNET(AY$24+$BB47) +RAND()*$BD$13</f>
        <v>-85.346959634998129</v>
      </c>
      <c r="BE47" s="70">
        <f t="shared" ref="BE47:BE78" ca="1" si="46">E$27*$Z$5*MAGNET(E$24+$BB47)+F$27*$Z$5*MAGNET(F$24+$BB47)+G$27*$Z$5*MAGNET(G$24+$BB47)+H$27*$Z$5*MAGNET(H$24+$BB47)+I$27*$Z$5*MAGNET(I$24+$BB47)+J$27*$Z$5*MAGNET(J$24+$BB47)+K$27*$Z$5*MAGNET(K$24+$BB47)+L$27*$Z$5*MAGNET(L$24+$BB47)+M$27*$Z$5*MAGNET(M$24+$BB47)+N$27*$Z$5*MAGNET(N$24+$BB47)+O$27*$Z$5*MAGNET(O$24+$BB47)+P$27*$Z$5*MAGNET(P$24+$BB47)+Q$27*$Z$5*MAGNET(Q$24+$BB47)+R$27*$Z$5*MAGNET(R$24+$BB47)+S$27*$Z$5*MAGNET(S$24+$BB47)+T$27*$Z$5*MAGNET(T$24+$BB47)+U$27*$Z$5*MAGNET(U$24+$BB47)+V$27*$Z$5*MAGNET(V$24+$BB47)+W$27*$Z$5*MAGNET(W$24+$BB47)+X$27*$Z$5*MAGNET(X$24+$BB47)+Y$27*$Z$5*MAGNET(Y$24+$BB47)+Z$27*$Z$5*MAGNET(Z$24+$BB47)+AA$27*$Z$5*MAGNET(AA$24+$BB47)+AB$27*$Z$5*MAGNET(AB$24+$BB47)+AC$27*$Z$5*MAGNET(AC$24+$BB47)+AD$27*$Z$5*MAGNET(AD$24+$BB47)+AE$27*$Z$5*MAGNET(AE$24+$BB47)+AF$27*$Z$5*MAGNET(AF$24+$BB47)+AG$27*$Z$5*MAGNET(AG$24+$BB47)+D$27*$Z$5*MAGNET(D$24+$BB47)+AH$27*$Z$5*MAGNET(AH$24+BB47) +AI$27*$Z$5*MAGNET(AI$24+BB47) +AJ$27*$Z$5*MAGNET(AJ$24+BB47) +AK$27*$Z$5*MAGNET(AK$24+BB47) +AL$27*$Z$5*MAGNET(AL$24+BB47) +AM$27*$Z$5*MAGNET(AM$24+BB47) +AN$27*$Z$5*MAGNET(AN$24+BB47) +AO$27*$Z$5*MAGNET(AO$24+BB47) +AP$27*$Z$5*MAGNET(AP$24+$BB47)
+AQ$27*$Z$5*MAGNET(AQ$24+$BB47)
+AR$27*$Z$5*MAGNET(AR$24+$BB47)
+AS$27*$Z$5*MAGNET(AS$24+$BB47)
+AT$27*$Z$5*MAGNET(AT$24+$BB47)
+AU$27*$Z$5*MAGNET(AU$24+$BB47)
+AV$27*$Z$5*MAGNET(AV$24+$BB47)
+AW$27*$Z$5*MAGNET(AW$24+$BB47)
+AX$27*$Z$5*MAGNET(AX$24+$BB47)
+AY$27*$Z$5*MAGNET(AY$24+$BB47) +RAND()*$BE$13</f>
        <v>71.8328440879731</v>
      </c>
      <c r="BF47" s="70">
        <f t="shared" ref="BF47:BF78" ca="1" si="47">E$28*$Z$5*MAGNET(E$24+$BB47)+F$28*$Z$5*MAGNET(F$24+$BB47)+G$28*$Z$5*MAGNET(G$24+$BB47)+H$28*$Z$5*MAGNET(H$24+$BB47)+I$28*$Z$5*MAGNET(I$24+$BB47)+J$28*$Z$5*MAGNET(J$24+$BB47)+K$28*$Z$5*MAGNET(K$24+$BB47)+L$28*$Z$5*MAGNET(L$24+$BB47)+M$28*$Z$5*MAGNET(M$24+$BB47)+N$28*$Z$5*MAGNET(N$24+$BB47)+O$28*$Z$5*MAGNET(O$24+$BB47)+P$28*$Z$5*MAGNET(P$24+$BB47)+Q$28*$Z$5*MAGNET(Q$24+$BB47)+R$28*$Z$5*MAGNET(R$24+$BB47)+S$28*$Z$5*MAGNET(S$24+$BB47)+T$28*$Z$5*MAGNET(T$24+$BB47)+U$28*$Z$5*MAGNET(U$24+$BB47)+V$28*$Z$5*MAGNET(V$24+$BB47)+W$28*$Z$5*MAGNET(W$24+$BB47)+X$28*$Z$5*MAGNET(X$24+$BB47)+Y$28*$Z$5*MAGNET(Y$24+$BB47)+Z$28*$Z$5*MAGNET(Z$24+$BB47)+AA$28*$Z$5*MAGNET(AA$24+$BB47)+AB$28*$Z$5*MAGNET(AB$24+$BB47)+AC$28*$Z$5*MAGNET(AC$24+$BB47)+AD$28*$Z$5*MAGNET(AD$24+$BB47)+AE$28*$Z$5*MAGNET(AE$24+$BB47)+AF$28*$Z$5*MAGNET(AF$24+$BB47)+AG$28*$Z$5*MAGNET(AG$24+$BB47)+D$28*$Z$5*MAGNET(D$24+$BB47)+AH$28*$Z$5*MAGNET(AH$24+BB47) +AI$28*$Z$5*MAGNET(AI$24+BB47) +AJ$28*$Z$5*MAGNET(AJ$24+BB47) +AK$28*$Z$5*MAGNET(AK$24+BB47) +AL$28*$Z$5*MAGNET(AL$24+BB47) +AM$28*$Z$5*MAGNET(AM$24+BB47) +AN$28*$Z$5*MAGNET(AN$24+BB47) +AO$28*$Z$5*MAGNET(AO$24+BB47) +AP$28*$Z$5*MAGNET(AP$24+$BB47)
+AQ$28*$Z$5*MAGNET(AQ$24+$BB47)
+AR$28*$Z$5*MAGNET(AR$24+$BB47)
+AS$28*$Z$5*MAGNET(AS$24+$BB47)
+AT$28*$Z$5*MAGNET(AT$24+$BB47)
+AU$28*$Z$5*MAGNET(AU$24+$BB47)
+AV$28*$Z$5*MAGNET(AV$24+$BB47)
+AW$28*$Z$5*MAGNET(AW$24+$BB47)
+AX$28*$Z$5*MAGNET(AX$24+$BB47)
+AY$28*$Z$5*MAGNET(AY$24+$BB47) +RAND()*$BF$13</f>
        <v>10.002766069490868</v>
      </c>
      <c r="BG47" s="70">
        <f t="shared" ref="BG47:BG78" ca="1" si="48">E$29*$Z$5*MAGNET(E$24+$BB47)+F$29*$Z$5*MAGNET(F$24+$BB47)+G$29*$Z$5*MAGNET(G$24+$BB47)+H$29*$Z$5*MAGNET(H$24+$BB47)+I$29*$Z$5*MAGNET(I$24+$BB47)+J$29*$Z$5*MAGNET(J$24+$BB47)+K$29*$Z$5*MAGNET(K$24+$BB47)+L$29*$Z$5*MAGNET(L$24+$BB47)+M$29*$Z$5*MAGNET(M$24+$BB47)+N$29*$Z$5*MAGNET(N$24+$BB47)+O$29*$Z$5*MAGNET(O$24+$BB47)+P$29*$Z$5*MAGNET(P$24+$BB47)+Q$29*$Z$5*MAGNET(Q$24+$BB47)+R$29*$Z$5*MAGNET(R$24+$BB47)+S$29*$Z$5*MAGNET(S$24+$BB47)+T$29*$Z$5*MAGNET(T$24+$BB47)+U$29*$Z$5*MAGNET(U$24+$BB47)+V$29*$Z$5*MAGNET(V$24+$BB47)+W$29*$Z$5*MAGNET(W$24+$BB47)+X$29*$Z$5*MAGNET(X$24+$BB47)+Y$29*$Z$5*MAGNET(Y$24+$BB47)+Z$29*$Z$5*MAGNET(Z$24+$BB47)+AA$29*$Z$5*MAGNET(AA$24+$BB47)+AB$29*$Z$5*MAGNET(AB$24+$BB47)+AC$29*$Z$5*MAGNET(AC$24+$BB47)+AD$29*$Z$5*MAGNET(AD$24+$BB47)+AE$29*$Z$5*MAGNET(AE$24+$BB47)+AF$29*$Z$5*MAGNET(AF$24+$BB47)+AG$29*$Z$5*MAGNET(AG$24+$BB47)+D$29*$Z$5*MAGNET(D$24+$BB47)+AH$29*$Z$5*MAGNET(AH$24+BB47) +AI$29*$Z$5*MAGNET(AI$24+BB47) +AJ$29*$Z$5*MAGNET(AJ$24+BB47) +AK$29*$Z$5*MAGNET(AK$24+BB47) +AL$29*$Z$5*MAGNET(AL$24+BB47) +AM$29*$Z$5*MAGNET(AM$24+BB47) +AN$29*$Z$5*MAGNET(AN$24+BB47) +AO$29*$Z$5*MAGNET(AO$24+BB47) +AP$29*$Z$5*MAGNET(AP$24+$BB47)
+AQ$29*$Z$5*MAGNET(AQ$24+$BB47)
+AR$29*$Z$5*MAGNET(AR$24+$BB47)
+AS$29*$Z$5*MAGNET(AS$24+$BB47)
+AT$29*$Z$5*MAGNET(AT$24+$BB47)
+AU$29*$Z$5*MAGNET(AU$24+$BB47)
+AV$29*$Z$5*MAGNET(AV$24+$BB47)
+AW$29*$Z$5*MAGNET(AW$24+$BB47)
+AX$29*$Z$5*MAGNET(AX$24+$BB47)
+AY$29*$Z$5*MAGNET(AY$24+$BB47) +RAND()*$BG$13</f>
        <v>-31.844561480235402</v>
      </c>
      <c r="BH47" s="70">
        <f t="shared" ref="BH47:BH78" ca="1" si="49">E$30*$Z$5*MAGNET(E$24+$BB47)+F$30*$Z$5*MAGNET(F$24+$BB47)+G$30*$Z$5*MAGNET(G$24+$BB47)+H$30*$Z$5*MAGNET(H$24+$BB47)+I$30*$Z$5*MAGNET(I$24+$BB47)+J$30*$Z$5*MAGNET(J$24+$BB47)+K$30*$Z$5*MAGNET(K$24+$BB47)+L$30*$Z$5*MAGNET(L$24+$BB47)+M$30*$Z$5*MAGNET(M$24+$BB47)+N$30*$Z$5*MAGNET(N$24+$BB47)+O$30*$Z$5*MAGNET(O$24+$BB47)+P$30*$Z$5*MAGNET(P$24+$BB47)+Q$30*$Z$5*MAGNET(Q$24+$BB47)+R$30*$Z$5*MAGNET(R$24+$BB47)+S$30*$Z$5*MAGNET(S$24+$BB47)+T$30*$Z$5*MAGNET(T$24+$BB47)+U$30*$Z$5*MAGNET(U$24+$BB47)+V$30*$Z$5*MAGNET(V$24+$BB47)+W$30*$Z$5*MAGNET(W$24+$BB47)+X$30*$Z$5*MAGNET(X$24+$BB47)+Y$30*$Z$5*MAGNET(Y$24+$BB47)+Z$30*$Z$5*MAGNET(Z$24+$BB47)+AA$30*$Z$5*MAGNET(AA$24+$BB47)+AB$30*$Z$5*MAGNET(AB$24+$BB47)+AC$30*$Z$5*MAGNET(AC$24+$BB47)+AD$30*$Z$5*MAGNET(AD$24+$BB47)+AE$30*$Z$5*MAGNET(AE$24+$BB47)+AF$30*$Z$5*MAGNET(AF$24+$BB47)+AG$30*$Z$5*MAGNET(AG$24+$BB47)+D$30*$Z$5*MAGNET(D$24+$BB47)+AH$30*$Z$5*MAGNET(AH$24+BB47) +AI$30*$Z$5*MAGNET(AI$24+BB47) +AJ$30*$Z$5*MAGNET(AJ$24+BB47) +AK$30*$Z$5*MAGNET(AK$24+BB47) +AL$30*$Z$5*MAGNET(AL$24+BB47) +AM$30*$Z$5*MAGNET(AM$24+BB47) +AN$30*$Z$5*MAGNET(AN$24+BB47) +AO$30*$Z$5*MAGNET(AO$24+BB47) +AP$30*$Z$5*MAGNET(AP$24+$BB47)
+AQ$30*$Z$5*MAGNET(AQ$24+$BB47)
+AR$30*$Z$5*MAGNET(AR$24+$BB47)
+AS$30*$Z$5*MAGNET(AS$24+$BB47)
+AT$30*$Z$5*MAGNET(AT$24+$BB47)
+AU$30*$Z$5*MAGNET(AU$24+$BB47)
+AV$30*$Z$5*MAGNET(AV$24+$BB47)
+AW$30*$Z$5*MAGNET(AW$24+$BB47)
+AX$30*$Z$5*MAGNET(AX$24+$BB47)
+AY$30*$Z$5*MAGNET(AY$24+$BB47) +RAND()*$BH$13</f>
        <v>0</v>
      </c>
      <c r="BI47" s="70">
        <f t="shared" ref="BI47:BI78" ca="1" si="50">E$31*$Z$5*MAGNET(E$24+$BB47)+F$31*$Z$5*MAGNET(F$24+$BB47)+G$31*$Z$5*MAGNET(G$24+$BB47)+H$31*$Z$5*MAGNET(H$24+$BB47)+I$31*$Z$5*MAGNET(I$24+$BB47)+J$31*$Z$5*MAGNET(J$24+$BB47)+K$31*$Z$5*MAGNET(K$24+$BB47)+L$31*$Z$5*MAGNET(L$24+$BB47)+M$31*$Z$5*MAGNET(M$24+$BB47)+N$31*$Z$5*MAGNET(N$24+$BB47)+O$31*$Z$5*MAGNET(O$24+$BB47)+P$31*$Z$5*MAGNET(P$24+$BB47)+Q$31*$Z$5*MAGNET(Q$24+$BB47)+R$31*$Z$5*MAGNET(R$24+$BB47)+S$31*$Z$5*MAGNET(S$24+$BB47)+T$31*$Z$5*MAGNET(T$24+$BB47)+U$31*$Z$5*MAGNET(U$24+$BB47)+V$31*$Z$5*MAGNET(V$24+$BB47)+W$31*$Z$5*MAGNET(W$24+$BB47)+X$31*$Z$5*MAGNET(X$24+$BB47)+Y$31*$Z$5*MAGNET(Y$24+$BB47)+Z$31*$Z$5*MAGNET(Z$24+$BB47)+AA$31*$Z$5*MAGNET(AA$24+$BB47)+AB$31*$Z$5*MAGNET(AB$24+$BB47)+AC$31*$Z$5*MAGNET(AC$24+$BB47)+AD$31*$Z$5*MAGNET(AD$24+$BB47)+AE$31*$Z$5*MAGNET(AE$24+$BB47)+AF$31*$Z$5*MAGNET(AF$24+$BB47)+AG$31*$Z$5*MAGNET(AG$24+$BB47)+D$31*$Z$5*MAGNET(D$24+$BB47)+AH$31*$Z$5*MAGNET(AH$24+BB47) +AI$31*$Z$5*MAGNET(AI$24+BB47) +AJ$31*$Z$5*MAGNET(AJ$24+BB47) +AK$31*$Z$5*MAGNET(AK$24+BB47) +AL$31*$Z$5*MAGNET(AL$24+BB47) +AM$31*$Z$5*MAGNET(AM$24+BB47) +AN$31*$Z$5*MAGNET(AN$24+BB47) +AO$31*$Z$5*MAGNET(AO$24+BB47) +AP$31*$Z$5*MAGNET(AP$24+$BB47)
+AQ$31*$Z$5*MAGNET(AQ$24+$BB47)
+AR$31*$Z$5*MAGNET(AR$24+$BB47)
+AS$31*$Z$5*MAGNET(AS$24+$BB47)
+AT$31*$Z$5*MAGNET(AT$24+$BB47)
+AU$31*$Z$5*MAGNET(AU$24+$BB47)
+AV$31*$Z$5*MAGNET(AV$24+$BB47)
+AW$31*$Z$5*MAGNET(AW$24+$BB47)
+AX$31*$Z$5*MAGNET(AX$24+$BB47)
+AY$31*$Z$5*MAGNET(AY$24+$BB47) +RAND()*$BI$13</f>
        <v>0</v>
      </c>
      <c r="BJ47" s="70">
        <f t="shared" ref="BJ47:BJ78" ca="1" si="51">E$32*$Z$5*MAGNET(E$24+$BB47)+F$32*$Z$5*MAGNET(F$24+$BB47)+G$32*$Z$5*MAGNET(G$24+$BB47)+H$32*$Z$5*MAGNET(H$24+$BB47)+I$32*$Z$5*MAGNET(I$24+$BB47)+J$32*$Z$5*MAGNET(J$24+$BB47)+K$32*$Z$5*MAGNET(K$24+$BB47)+L$32*$Z$5*MAGNET(L$24+$BB47)+M$32*$Z$5*MAGNET(M$24+$BB47)+N$32*$Z$5*MAGNET(N$24+$BB47)+O$32*$Z$5*MAGNET(O$24+$BB47)+P$32*$Z$5*MAGNET(P$24+$BB47)+Q$32*$Z$5*MAGNET(Q$24+$BB47)+R$32*$Z$5*MAGNET(R$24+$BB47)+S$32*$Z$5*MAGNET(S$24+$BB47)+T$32*$Z$5*MAGNET(T$24+$BB47)+U$32*$Z$5*MAGNET(U$24+$BB47)+V$32*$Z$5*MAGNET(V$24+$BB47)+W$32*$Z$5*MAGNET(W$24+$BB47)+X$32*$Z$5*MAGNET(X$24+$BB47)+Y$32*$Z$5*MAGNET(Y$24+$BB47)+Z$32*$Z$5*MAGNET(Z$24+$BB47)+AA$32*$Z$5*MAGNET(AA$24+$BB47)+AB$32*$Z$5*MAGNET(AB$24+$BB47)+AC$32*$Z$5*MAGNET(AC$24+$BB47)+AD$32*$Z$5*MAGNET(AD$24+$BB47)+AE$32*$Z$5*MAGNET(AE$24+$BB47)+AF$32*$Z$5*MAGNET(AF$24+$BB47)+AG$32*$Z$5*MAGNET(AG$24+$BB47)+D$32*$Z$5*MAGNET(D$24+$BB47)+AH$32*$Z$5*MAGNET(AH$24+BB47) +AI$32*$Z$5*MAGNET(AI$24+BB47) +AJ$32*$Z$5*MAGNET(AJ$24+BB47) +AK$32*$Z$5*MAGNET(AK$24+BB47) +AL$32*$Z$5*MAGNET(AL$24+BB47) +AM$32*$Z$5*MAGNET(AM$24+BB47) +AN$32*$Z$5*MAGNET(AN$24+BB47) +AO$32*$Z$5*MAGNET(AO$24+BB47) +AP$32*$Z$5*MAGNET(AP$24+$BB47)
+AQ$32*$Z$5*MAGNET(AQ$24+$BB47)
+AR$32*$Z$5*MAGNET(AR$24+$BB47)
+AS$32*$Z$5*MAGNET(AS$24+$BB47)
+AT$32*$Z$5*MAGNET(AT$24+$BB47)
+AU$32*$Z$5*MAGNET(AU$24+$BB47)
+AV$32*$Z$5*MAGNET(AV$24+$BB47)
+AW$32*$Z$5*MAGNET(AW$24+$BB47)
+AX$32*$Z$5*MAGNET(AX$24+$BB47)
+AY$32*$Z$5*MAGNET(AY$24+$BB47) +RAND()*$BJ$13</f>
        <v>0</v>
      </c>
    </row>
    <row r="48" spans="3:66" x14ac:dyDescent="0.25">
      <c r="C48" s="22">
        <v>-6</v>
      </c>
      <c r="D48">
        <f t="shared" si="43"/>
        <v>0</v>
      </c>
      <c r="E48">
        <f t="shared" si="39"/>
        <v>0</v>
      </c>
      <c r="F48">
        <f t="shared" si="39"/>
        <v>0</v>
      </c>
      <c r="G48">
        <f t="shared" si="39"/>
        <v>0</v>
      </c>
      <c r="H48">
        <f t="shared" si="39"/>
        <v>0</v>
      </c>
      <c r="I48">
        <f t="shared" si="39"/>
        <v>0</v>
      </c>
      <c r="J48">
        <f t="shared" si="39"/>
        <v>0</v>
      </c>
      <c r="K48">
        <f t="shared" si="39"/>
        <v>0</v>
      </c>
      <c r="L48">
        <f t="shared" si="39"/>
        <v>0</v>
      </c>
      <c r="M48">
        <f t="shared" si="39"/>
        <v>0</v>
      </c>
      <c r="N48">
        <f t="shared" si="39"/>
        <v>0</v>
      </c>
      <c r="O48">
        <f t="shared" si="39"/>
        <v>0</v>
      </c>
      <c r="P48">
        <f t="shared" si="39"/>
        <v>0</v>
      </c>
      <c r="Q48">
        <f t="shared" si="39"/>
        <v>0</v>
      </c>
      <c r="R48">
        <f t="shared" si="39"/>
        <v>0</v>
      </c>
      <c r="S48">
        <f t="shared" si="39"/>
        <v>0</v>
      </c>
      <c r="T48">
        <f t="shared" si="39"/>
        <v>0</v>
      </c>
      <c r="U48">
        <f t="shared" si="40"/>
        <v>0</v>
      </c>
      <c r="V48">
        <f t="shared" si="40"/>
        <v>0</v>
      </c>
      <c r="W48">
        <f t="shared" si="40"/>
        <v>0</v>
      </c>
      <c r="X48">
        <f t="shared" si="40"/>
        <v>0</v>
      </c>
      <c r="Y48">
        <f t="shared" si="40"/>
        <v>0</v>
      </c>
      <c r="Z48">
        <f t="shared" si="40"/>
        <v>0</v>
      </c>
      <c r="AA48">
        <f t="shared" si="40"/>
        <v>0</v>
      </c>
      <c r="AB48">
        <f t="shared" si="40"/>
        <v>0</v>
      </c>
      <c r="AC48">
        <f t="shared" si="40"/>
        <v>0</v>
      </c>
      <c r="AD48">
        <f t="shared" si="40"/>
        <v>0</v>
      </c>
      <c r="AE48">
        <f t="shared" si="40"/>
        <v>0</v>
      </c>
      <c r="AF48">
        <f t="shared" si="40"/>
        <v>0</v>
      </c>
      <c r="AG48">
        <f t="shared" si="40"/>
        <v>0</v>
      </c>
      <c r="AH48">
        <f t="shared" si="41"/>
        <v>0</v>
      </c>
      <c r="AI48">
        <f t="shared" si="41"/>
        <v>0</v>
      </c>
      <c r="AJ48">
        <f t="shared" si="41"/>
        <v>0</v>
      </c>
      <c r="AK48">
        <f t="shared" si="41"/>
        <v>0</v>
      </c>
      <c r="AL48">
        <f t="shared" si="41"/>
        <v>0</v>
      </c>
      <c r="AM48">
        <f t="shared" si="41"/>
        <v>0</v>
      </c>
      <c r="AN48">
        <f t="shared" si="41"/>
        <v>0</v>
      </c>
      <c r="AO48">
        <f t="shared" si="41"/>
        <v>0</v>
      </c>
      <c r="AP48">
        <f t="shared" si="41"/>
        <v>0</v>
      </c>
      <c r="AQ48">
        <f t="shared" si="41"/>
        <v>0</v>
      </c>
      <c r="AR48">
        <f t="shared" si="42"/>
        <v>0</v>
      </c>
      <c r="AS48">
        <f t="shared" si="42"/>
        <v>0</v>
      </c>
      <c r="AT48">
        <f t="shared" si="42"/>
        <v>0</v>
      </c>
      <c r="AU48">
        <f t="shared" si="42"/>
        <v>0</v>
      </c>
      <c r="AV48">
        <f t="shared" si="42"/>
        <v>0</v>
      </c>
      <c r="AW48">
        <f t="shared" si="42"/>
        <v>0</v>
      </c>
      <c r="AX48">
        <f t="shared" si="42"/>
        <v>0</v>
      </c>
      <c r="AY48">
        <f t="shared" si="42"/>
        <v>0</v>
      </c>
      <c r="BA48">
        <f t="shared" si="13"/>
        <v>6.6000000000000045E-2</v>
      </c>
      <c r="BB48" s="48">
        <f t="shared" si="12"/>
        <v>3.3175218421908239</v>
      </c>
      <c r="BC48" s="69">
        <f t="shared" ca="1" si="44"/>
        <v>30.877896196707457</v>
      </c>
      <c r="BD48" s="69">
        <f t="shared" ca="1" si="45"/>
        <v>-83.544732914608105</v>
      </c>
      <c r="BE48" s="70">
        <f t="shared" ca="1" si="46"/>
        <v>85.575324272044583</v>
      </c>
      <c r="BF48" s="70">
        <f t="shared" ca="1" si="47"/>
        <v>10.858812228797039</v>
      </c>
      <c r="BG48" s="70">
        <f t="shared" ca="1" si="48"/>
        <v>-34.450392172002417</v>
      </c>
      <c r="BH48" s="70">
        <f t="shared" ca="1" si="49"/>
        <v>0</v>
      </c>
      <c r="BI48" s="70">
        <f t="shared" ca="1" si="50"/>
        <v>0</v>
      </c>
      <c r="BJ48" s="70">
        <f t="shared" ca="1" si="51"/>
        <v>0</v>
      </c>
    </row>
    <row r="49" spans="3:62" x14ac:dyDescent="0.25">
      <c r="C49" s="22">
        <v>7</v>
      </c>
      <c r="D49">
        <f t="shared" si="43"/>
        <v>0</v>
      </c>
      <c r="E49">
        <f t="shared" si="39"/>
        <v>0</v>
      </c>
      <c r="F49">
        <f t="shared" si="39"/>
        <v>0</v>
      </c>
      <c r="G49">
        <f t="shared" si="39"/>
        <v>0</v>
      </c>
      <c r="H49">
        <f t="shared" si="39"/>
        <v>0</v>
      </c>
      <c r="I49">
        <f t="shared" si="39"/>
        <v>0</v>
      </c>
      <c r="J49">
        <f t="shared" si="39"/>
        <v>0</v>
      </c>
      <c r="K49">
        <f t="shared" si="39"/>
        <v>0</v>
      </c>
      <c r="L49">
        <f t="shared" si="39"/>
        <v>0</v>
      </c>
      <c r="M49">
        <f t="shared" si="39"/>
        <v>0</v>
      </c>
      <c r="N49">
        <f t="shared" si="39"/>
        <v>0</v>
      </c>
      <c r="O49">
        <f t="shared" si="39"/>
        <v>0</v>
      </c>
      <c r="P49">
        <f t="shared" si="39"/>
        <v>0</v>
      </c>
      <c r="Q49">
        <f t="shared" si="39"/>
        <v>0</v>
      </c>
      <c r="R49">
        <f t="shared" si="39"/>
        <v>0</v>
      </c>
      <c r="S49">
        <f t="shared" si="39"/>
        <v>0</v>
      </c>
      <c r="T49">
        <f t="shared" si="39"/>
        <v>0</v>
      </c>
      <c r="U49">
        <f t="shared" si="40"/>
        <v>0</v>
      </c>
      <c r="V49">
        <f t="shared" si="40"/>
        <v>0</v>
      </c>
      <c r="W49">
        <f t="shared" si="40"/>
        <v>0</v>
      </c>
      <c r="X49">
        <f t="shared" si="40"/>
        <v>0</v>
      </c>
      <c r="Y49">
        <f t="shared" si="40"/>
        <v>0</v>
      </c>
      <c r="Z49">
        <f t="shared" si="40"/>
        <v>0</v>
      </c>
      <c r="AA49">
        <f t="shared" si="40"/>
        <v>0</v>
      </c>
      <c r="AB49">
        <f t="shared" si="40"/>
        <v>0</v>
      </c>
      <c r="AC49">
        <f t="shared" si="40"/>
        <v>0</v>
      </c>
      <c r="AD49">
        <f t="shared" si="40"/>
        <v>0</v>
      </c>
      <c r="AE49">
        <f t="shared" si="40"/>
        <v>0</v>
      </c>
      <c r="AF49">
        <f t="shared" si="40"/>
        <v>0</v>
      </c>
      <c r="AG49">
        <f t="shared" si="40"/>
        <v>0</v>
      </c>
      <c r="AH49">
        <f t="shared" si="41"/>
        <v>0</v>
      </c>
      <c r="AI49">
        <f t="shared" si="41"/>
        <v>0</v>
      </c>
      <c r="AJ49">
        <f t="shared" si="41"/>
        <v>0</v>
      </c>
      <c r="AK49">
        <f t="shared" si="41"/>
        <v>0</v>
      </c>
      <c r="AL49">
        <f t="shared" si="41"/>
        <v>0</v>
      </c>
      <c r="AM49">
        <f t="shared" si="41"/>
        <v>0</v>
      </c>
      <c r="AN49">
        <f t="shared" si="41"/>
        <v>0</v>
      </c>
      <c r="AO49">
        <f t="shared" si="41"/>
        <v>0</v>
      </c>
      <c r="AP49">
        <f t="shared" si="41"/>
        <v>0</v>
      </c>
      <c r="AQ49">
        <f t="shared" si="41"/>
        <v>0</v>
      </c>
      <c r="AR49">
        <f t="shared" si="42"/>
        <v>0</v>
      </c>
      <c r="AS49">
        <f t="shared" si="42"/>
        <v>0</v>
      </c>
      <c r="AT49">
        <f t="shared" si="42"/>
        <v>0</v>
      </c>
      <c r="AU49">
        <f t="shared" si="42"/>
        <v>0</v>
      </c>
      <c r="AV49">
        <f t="shared" si="42"/>
        <v>0</v>
      </c>
      <c r="AW49">
        <f t="shared" si="42"/>
        <v>0</v>
      </c>
      <c r="AX49">
        <f t="shared" si="42"/>
        <v>0</v>
      </c>
      <c r="AY49">
        <f t="shared" si="42"/>
        <v>0</v>
      </c>
      <c r="AZ49" s="29"/>
      <c r="BA49">
        <f t="shared" si="13"/>
        <v>6.8000000000000047E-2</v>
      </c>
      <c r="BB49" s="48">
        <f t="shared" si="12"/>
        <v>3.4180528071056973</v>
      </c>
      <c r="BC49" s="69">
        <f t="shared" ca="1" si="44"/>
        <v>19.424144751402174</v>
      </c>
      <c r="BD49" s="69">
        <f t="shared" ca="1" si="45"/>
        <v>-80.385875917566082</v>
      </c>
      <c r="BE49" s="70">
        <f t="shared" ca="1" si="46"/>
        <v>93.864514196149955</v>
      </c>
      <c r="BF49" s="70">
        <f t="shared" ca="1" si="47"/>
        <v>12.084390535651478</v>
      </c>
      <c r="BG49" s="70">
        <f t="shared" ca="1" si="48"/>
        <v>-38.281560229737984</v>
      </c>
      <c r="BH49" s="70">
        <f t="shared" ca="1" si="49"/>
        <v>0</v>
      </c>
      <c r="BI49" s="70">
        <f t="shared" ca="1" si="50"/>
        <v>0</v>
      </c>
      <c r="BJ49" s="70">
        <f t="shared" ca="1" si="51"/>
        <v>0</v>
      </c>
    </row>
    <row r="50" spans="3:62" x14ac:dyDescent="0.25">
      <c r="C50" s="22">
        <v>-7</v>
      </c>
      <c r="D50">
        <f t="shared" si="43"/>
        <v>0</v>
      </c>
      <c r="E50">
        <f t="shared" si="39"/>
        <v>0</v>
      </c>
      <c r="F50">
        <f t="shared" si="39"/>
        <v>0</v>
      </c>
      <c r="G50">
        <f t="shared" si="39"/>
        <v>0</v>
      </c>
      <c r="H50">
        <f t="shared" si="39"/>
        <v>0</v>
      </c>
      <c r="I50">
        <f t="shared" si="39"/>
        <v>0</v>
      </c>
      <c r="J50">
        <f t="shared" si="39"/>
        <v>0</v>
      </c>
      <c r="K50">
        <f t="shared" si="39"/>
        <v>0</v>
      </c>
      <c r="L50">
        <f t="shared" si="39"/>
        <v>0</v>
      </c>
      <c r="M50">
        <f t="shared" si="39"/>
        <v>0</v>
      </c>
      <c r="N50">
        <f t="shared" si="39"/>
        <v>0</v>
      </c>
      <c r="O50">
        <f t="shared" si="39"/>
        <v>0</v>
      </c>
      <c r="P50">
        <f t="shared" si="39"/>
        <v>0</v>
      </c>
      <c r="Q50">
        <f t="shared" si="39"/>
        <v>0</v>
      </c>
      <c r="R50">
        <f t="shared" si="39"/>
        <v>0</v>
      </c>
      <c r="S50">
        <f t="shared" si="39"/>
        <v>0</v>
      </c>
      <c r="T50">
        <f t="shared" si="39"/>
        <v>0</v>
      </c>
      <c r="U50">
        <f t="shared" si="40"/>
        <v>0</v>
      </c>
      <c r="V50">
        <f t="shared" si="40"/>
        <v>0</v>
      </c>
      <c r="W50">
        <f t="shared" si="40"/>
        <v>0</v>
      </c>
      <c r="X50">
        <f t="shared" si="40"/>
        <v>0</v>
      </c>
      <c r="Y50">
        <f t="shared" si="40"/>
        <v>0</v>
      </c>
      <c r="Z50">
        <f t="shared" si="40"/>
        <v>0</v>
      </c>
      <c r="AA50">
        <f t="shared" si="40"/>
        <v>0</v>
      </c>
      <c r="AB50">
        <f t="shared" si="40"/>
        <v>0</v>
      </c>
      <c r="AC50">
        <f t="shared" si="40"/>
        <v>0</v>
      </c>
      <c r="AD50">
        <f t="shared" si="40"/>
        <v>0</v>
      </c>
      <c r="AE50">
        <f t="shared" si="40"/>
        <v>0</v>
      </c>
      <c r="AF50">
        <f t="shared" si="40"/>
        <v>0</v>
      </c>
      <c r="AG50">
        <f t="shared" si="40"/>
        <v>0</v>
      </c>
      <c r="AH50">
        <f t="shared" si="41"/>
        <v>0</v>
      </c>
      <c r="AI50">
        <f t="shared" si="41"/>
        <v>0</v>
      </c>
      <c r="AJ50">
        <f t="shared" si="41"/>
        <v>0</v>
      </c>
      <c r="AK50">
        <f t="shared" si="41"/>
        <v>0</v>
      </c>
      <c r="AL50">
        <f t="shared" si="41"/>
        <v>0</v>
      </c>
      <c r="AM50">
        <f t="shared" si="41"/>
        <v>0</v>
      </c>
      <c r="AN50">
        <f t="shared" si="41"/>
        <v>0</v>
      </c>
      <c r="AO50">
        <f t="shared" si="41"/>
        <v>0</v>
      </c>
      <c r="AP50">
        <f t="shared" si="41"/>
        <v>0</v>
      </c>
      <c r="AQ50">
        <f t="shared" si="41"/>
        <v>0</v>
      </c>
      <c r="AR50">
        <f t="shared" si="42"/>
        <v>0</v>
      </c>
      <c r="AS50">
        <f t="shared" si="42"/>
        <v>0</v>
      </c>
      <c r="AT50">
        <f t="shared" si="42"/>
        <v>0</v>
      </c>
      <c r="AU50">
        <f t="shared" si="42"/>
        <v>0</v>
      </c>
      <c r="AV50">
        <f t="shared" si="42"/>
        <v>0</v>
      </c>
      <c r="AW50">
        <f t="shared" si="42"/>
        <v>0</v>
      </c>
      <c r="AX50">
        <f t="shared" si="42"/>
        <v>0</v>
      </c>
      <c r="AY50">
        <f t="shared" si="42"/>
        <v>0</v>
      </c>
      <c r="BA50">
        <f t="shared" si="13"/>
        <v>7.0000000000000048E-2</v>
      </c>
      <c r="BB50" s="48">
        <f t="shared" si="12"/>
        <v>3.5185837720205706</v>
      </c>
      <c r="BC50" s="69">
        <f t="shared" ca="1" si="44"/>
        <v>8.2300031170239549</v>
      </c>
      <c r="BD50" s="69">
        <f t="shared" ca="1" si="45"/>
        <v>-75.436600826745774</v>
      </c>
      <c r="BE50" s="70">
        <f t="shared" ca="1" si="46"/>
        <v>99.928395831063042</v>
      </c>
      <c r="BF50" s="70">
        <f t="shared" ca="1" si="47"/>
        <v>13.698721055305167</v>
      </c>
      <c r="BG50" s="70">
        <f t="shared" ca="1" si="48"/>
        <v>-40.592330507222997</v>
      </c>
      <c r="BH50" s="70">
        <f t="shared" ca="1" si="49"/>
        <v>0</v>
      </c>
      <c r="BI50" s="70">
        <f t="shared" ca="1" si="50"/>
        <v>0</v>
      </c>
      <c r="BJ50" s="70">
        <f t="shared" ca="1" si="51"/>
        <v>0</v>
      </c>
    </row>
    <row r="51" spans="3:62" x14ac:dyDescent="0.25">
      <c r="C51" s="22">
        <v>8</v>
      </c>
      <c r="D51">
        <f t="shared" si="43"/>
        <v>0</v>
      </c>
      <c r="E51">
        <f t="shared" si="39"/>
        <v>0</v>
      </c>
      <c r="F51">
        <f t="shared" si="39"/>
        <v>0</v>
      </c>
      <c r="G51">
        <f t="shared" si="39"/>
        <v>0</v>
      </c>
      <c r="H51">
        <f t="shared" si="39"/>
        <v>0</v>
      </c>
      <c r="I51">
        <f t="shared" si="39"/>
        <v>0</v>
      </c>
      <c r="J51">
        <f t="shared" si="39"/>
        <v>0</v>
      </c>
      <c r="K51">
        <f t="shared" si="39"/>
        <v>0</v>
      </c>
      <c r="L51">
        <f t="shared" si="39"/>
        <v>0</v>
      </c>
      <c r="M51">
        <f t="shared" si="39"/>
        <v>0</v>
      </c>
      <c r="N51">
        <f t="shared" si="39"/>
        <v>0</v>
      </c>
      <c r="O51">
        <f t="shared" si="39"/>
        <v>0</v>
      </c>
      <c r="P51">
        <f t="shared" si="39"/>
        <v>0</v>
      </c>
      <c r="Q51">
        <f t="shared" si="39"/>
        <v>0</v>
      </c>
      <c r="R51">
        <f t="shared" si="39"/>
        <v>0</v>
      </c>
      <c r="S51">
        <f t="shared" si="39"/>
        <v>0</v>
      </c>
      <c r="T51">
        <f t="shared" si="39"/>
        <v>0</v>
      </c>
      <c r="U51">
        <f t="shared" si="40"/>
        <v>0</v>
      </c>
      <c r="V51">
        <f t="shared" si="40"/>
        <v>0</v>
      </c>
      <c r="W51">
        <f t="shared" si="40"/>
        <v>0</v>
      </c>
      <c r="X51">
        <f t="shared" si="40"/>
        <v>0</v>
      </c>
      <c r="Y51">
        <f t="shared" si="40"/>
        <v>0</v>
      </c>
      <c r="Z51">
        <f t="shared" si="40"/>
        <v>0</v>
      </c>
      <c r="AA51">
        <f t="shared" si="40"/>
        <v>0</v>
      </c>
      <c r="AB51">
        <f t="shared" si="40"/>
        <v>0</v>
      </c>
      <c r="AC51">
        <f t="shared" si="40"/>
        <v>0</v>
      </c>
      <c r="AD51">
        <f t="shared" si="40"/>
        <v>0</v>
      </c>
      <c r="AE51">
        <f t="shared" si="40"/>
        <v>0</v>
      </c>
      <c r="AF51">
        <f t="shared" si="40"/>
        <v>0</v>
      </c>
      <c r="AG51">
        <f t="shared" si="40"/>
        <v>0</v>
      </c>
      <c r="AH51">
        <f t="shared" si="41"/>
        <v>0</v>
      </c>
      <c r="AI51">
        <f t="shared" si="41"/>
        <v>0</v>
      </c>
      <c r="AJ51">
        <f t="shared" si="41"/>
        <v>0</v>
      </c>
      <c r="AK51">
        <f t="shared" si="41"/>
        <v>0</v>
      </c>
      <c r="AL51">
        <f t="shared" si="41"/>
        <v>0</v>
      </c>
      <c r="AM51">
        <f t="shared" si="41"/>
        <v>0</v>
      </c>
      <c r="AN51">
        <f t="shared" si="41"/>
        <v>0</v>
      </c>
      <c r="AO51">
        <f t="shared" si="41"/>
        <v>0</v>
      </c>
      <c r="AP51">
        <f t="shared" si="41"/>
        <v>0</v>
      </c>
      <c r="AQ51">
        <f t="shared" si="41"/>
        <v>0</v>
      </c>
      <c r="AR51">
        <f t="shared" si="42"/>
        <v>0</v>
      </c>
      <c r="AS51">
        <f t="shared" si="42"/>
        <v>0</v>
      </c>
      <c r="AT51">
        <f t="shared" si="42"/>
        <v>0</v>
      </c>
      <c r="AU51">
        <f t="shared" si="42"/>
        <v>0</v>
      </c>
      <c r="AV51">
        <f t="shared" si="42"/>
        <v>0</v>
      </c>
      <c r="AW51">
        <f t="shared" si="42"/>
        <v>0</v>
      </c>
      <c r="AX51">
        <f t="shared" si="42"/>
        <v>0</v>
      </c>
      <c r="AY51">
        <f t="shared" si="42"/>
        <v>0</v>
      </c>
      <c r="AZ51" s="29"/>
      <c r="BA51">
        <f t="shared" si="13"/>
        <v>7.200000000000005E-2</v>
      </c>
      <c r="BB51" s="48">
        <f t="shared" si="12"/>
        <v>3.6191147369354444</v>
      </c>
      <c r="BC51" s="69">
        <f t="shared" ca="1" si="44"/>
        <v>-3.0928751415148543</v>
      </c>
      <c r="BD51" s="69">
        <f t="shared" ca="1" si="45"/>
        <v>-74.218895166925947</v>
      </c>
      <c r="BE51" s="70">
        <f t="shared" ca="1" si="46"/>
        <v>106.07928921933348</v>
      </c>
      <c r="BF51" s="70">
        <f t="shared" ca="1" si="47"/>
        <v>15.493279752464126</v>
      </c>
      <c r="BG51" s="70">
        <f t="shared" ca="1" si="48"/>
        <v>-41.365943055456867</v>
      </c>
      <c r="BH51" s="70">
        <f t="shared" ca="1" si="49"/>
        <v>0</v>
      </c>
      <c r="BI51" s="70">
        <f t="shared" ca="1" si="50"/>
        <v>0</v>
      </c>
      <c r="BJ51" s="70">
        <f t="shared" ca="1" si="51"/>
        <v>0</v>
      </c>
    </row>
    <row r="52" spans="3:62" x14ac:dyDescent="0.25">
      <c r="C52" s="22">
        <v>-8</v>
      </c>
      <c r="D52">
        <f t="shared" si="43"/>
        <v>0</v>
      </c>
      <c r="E52">
        <f t="shared" si="39"/>
        <v>0</v>
      </c>
      <c r="F52">
        <f t="shared" si="39"/>
        <v>0</v>
      </c>
      <c r="G52">
        <f t="shared" si="39"/>
        <v>0</v>
      </c>
      <c r="H52">
        <f t="shared" si="39"/>
        <v>0</v>
      </c>
      <c r="I52">
        <f t="shared" si="39"/>
        <v>0</v>
      </c>
      <c r="J52">
        <f t="shared" si="39"/>
        <v>0</v>
      </c>
      <c r="K52">
        <f t="shared" si="39"/>
        <v>0</v>
      </c>
      <c r="L52">
        <f t="shared" si="39"/>
        <v>0</v>
      </c>
      <c r="M52">
        <f t="shared" si="39"/>
        <v>0</v>
      </c>
      <c r="N52">
        <f t="shared" si="39"/>
        <v>0</v>
      </c>
      <c r="O52">
        <f t="shared" si="39"/>
        <v>0</v>
      </c>
      <c r="P52">
        <f t="shared" si="39"/>
        <v>0</v>
      </c>
      <c r="Q52">
        <f t="shared" si="39"/>
        <v>0</v>
      </c>
      <c r="R52">
        <f t="shared" si="39"/>
        <v>0</v>
      </c>
      <c r="S52">
        <f t="shared" si="39"/>
        <v>0</v>
      </c>
      <c r="T52">
        <f t="shared" ref="T52" si="52">COUNTIF(T$15:T$22,"=" &amp;$C52)</f>
        <v>0</v>
      </c>
      <c r="U52">
        <f t="shared" si="40"/>
        <v>0</v>
      </c>
      <c r="V52">
        <f t="shared" si="40"/>
        <v>0</v>
      </c>
      <c r="W52">
        <f t="shared" si="40"/>
        <v>0</v>
      </c>
      <c r="X52">
        <f t="shared" si="40"/>
        <v>0</v>
      </c>
      <c r="Y52">
        <f t="shared" si="40"/>
        <v>0</v>
      </c>
      <c r="Z52">
        <f t="shared" si="40"/>
        <v>0</v>
      </c>
      <c r="AA52">
        <f t="shared" si="40"/>
        <v>0</v>
      </c>
      <c r="AB52">
        <f t="shared" si="40"/>
        <v>0</v>
      </c>
      <c r="AC52">
        <f t="shared" si="40"/>
        <v>0</v>
      </c>
      <c r="AD52">
        <f t="shared" si="40"/>
        <v>0</v>
      </c>
      <c r="AE52">
        <f t="shared" si="40"/>
        <v>0</v>
      </c>
      <c r="AF52">
        <f t="shared" si="40"/>
        <v>0</v>
      </c>
      <c r="AG52">
        <f t="shared" si="40"/>
        <v>0</v>
      </c>
      <c r="AH52">
        <f t="shared" si="41"/>
        <v>0</v>
      </c>
      <c r="AI52">
        <f t="shared" si="41"/>
        <v>0</v>
      </c>
      <c r="AJ52">
        <f t="shared" si="41"/>
        <v>0</v>
      </c>
      <c r="AK52">
        <f t="shared" si="41"/>
        <v>0</v>
      </c>
      <c r="AL52">
        <f t="shared" si="41"/>
        <v>0</v>
      </c>
      <c r="AM52">
        <f t="shared" si="41"/>
        <v>0</v>
      </c>
      <c r="AN52">
        <f t="shared" si="41"/>
        <v>0</v>
      </c>
      <c r="AO52">
        <f t="shared" si="41"/>
        <v>0</v>
      </c>
      <c r="AP52">
        <f t="shared" si="41"/>
        <v>0</v>
      </c>
      <c r="AQ52">
        <f t="shared" si="41"/>
        <v>0</v>
      </c>
      <c r="AR52">
        <f t="shared" si="42"/>
        <v>0</v>
      </c>
      <c r="AS52">
        <f t="shared" si="42"/>
        <v>0</v>
      </c>
      <c r="AT52">
        <f t="shared" si="42"/>
        <v>0</v>
      </c>
      <c r="AU52">
        <f t="shared" si="42"/>
        <v>0</v>
      </c>
      <c r="AV52">
        <f t="shared" si="42"/>
        <v>0</v>
      </c>
      <c r="AW52">
        <f t="shared" si="42"/>
        <v>0</v>
      </c>
      <c r="AX52">
        <f t="shared" si="42"/>
        <v>0</v>
      </c>
      <c r="AY52">
        <f t="shared" si="42"/>
        <v>0</v>
      </c>
      <c r="BA52">
        <f t="shared" si="13"/>
        <v>7.4000000000000052E-2</v>
      </c>
      <c r="BB52" s="48">
        <f t="shared" si="12"/>
        <v>3.7196457018503177</v>
      </c>
      <c r="BC52" s="69">
        <f t="shared" ca="1" si="44"/>
        <v>-18.579177465283369</v>
      </c>
      <c r="BD52" s="69">
        <f t="shared" ca="1" si="45"/>
        <v>-68.418355195360419</v>
      </c>
      <c r="BE52" s="70">
        <f t="shared" ca="1" si="46"/>
        <v>117.60071556116168</v>
      </c>
      <c r="BF52" s="70">
        <f t="shared" ca="1" si="47"/>
        <v>16.203689751153966</v>
      </c>
      <c r="BG52" s="70">
        <f t="shared" ca="1" si="48"/>
        <v>-42.173915628358536</v>
      </c>
      <c r="BH52" s="70">
        <f t="shared" ca="1" si="49"/>
        <v>0</v>
      </c>
      <c r="BI52" s="70">
        <f t="shared" ca="1" si="50"/>
        <v>0</v>
      </c>
      <c r="BJ52" s="70">
        <f t="shared" ca="1" si="51"/>
        <v>0</v>
      </c>
    </row>
    <row r="53" spans="3:62" x14ac:dyDescent="0.25">
      <c r="C53" s="22"/>
      <c r="AZ53" s="29"/>
      <c r="BA53">
        <f t="shared" si="13"/>
        <v>7.6000000000000054E-2</v>
      </c>
      <c r="BB53" s="48">
        <f t="shared" si="12"/>
        <v>3.8201766667651911</v>
      </c>
      <c r="BC53" s="69">
        <f t="shared" ca="1" si="44"/>
        <v>-28.303159718466446</v>
      </c>
      <c r="BD53" s="69">
        <f t="shared" ca="1" si="45"/>
        <v>-58.060528057083268</v>
      </c>
      <c r="BE53" s="70">
        <f t="shared" ca="1" si="46"/>
        <v>124.86814892461844</v>
      </c>
      <c r="BF53" s="70">
        <f t="shared" ca="1" si="47"/>
        <v>17.333288264636018</v>
      </c>
      <c r="BG53" s="70">
        <f t="shared" ca="1" si="48"/>
        <v>-42.970378441757568</v>
      </c>
      <c r="BH53" s="70">
        <f t="shared" ca="1" si="49"/>
        <v>0</v>
      </c>
      <c r="BI53" s="70">
        <f t="shared" ca="1" si="50"/>
        <v>0</v>
      </c>
      <c r="BJ53" s="70">
        <f t="shared" ca="1" si="51"/>
        <v>0</v>
      </c>
    </row>
    <row r="54" spans="3:62" x14ac:dyDescent="0.25">
      <c r="C54" s="22"/>
      <c r="BA54">
        <f t="shared" si="13"/>
        <v>7.8000000000000055E-2</v>
      </c>
      <c r="BB54" s="48">
        <f t="shared" si="12"/>
        <v>3.9207076316800644</v>
      </c>
      <c r="BC54" s="69">
        <f t="shared" ca="1" si="44"/>
        <v>-38.065085081982886</v>
      </c>
      <c r="BD54" s="69">
        <f t="shared" ca="1" si="45"/>
        <v>-52.856573742255904</v>
      </c>
      <c r="BE54" s="70">
        <f t="shared" ca="1" si="46"/>
        <v>124.85628286852959</v>
      </c>
      <c r="BF54" s="70">
        <f t="shared" ca="1" si="47"/>
        <v>18.06656744572625</v>
      </c>
      <c r="BG54" s="70">
        <f t="shared" ca="1" si="48"/>
        <v>-44.139475123162008</v>
      </c>
      <c r="BH54" s="70">
        <f t="shared" ca="1" si="49"/>
        <v>0</v>
      </c>
      <c r="BI54" s="70">
        <f t="shared" ca="1" si="50"/>
        <v>0</v>
      </c>
      <c r="BJ54" s="70">
        <f t="shared" ca="1" si="51"/>
        <v>0</v>
      </c>
    </row>
    <row r="55" spans="3:62" x14ac:dyDescent="0.25">
      <c r="C55" s="22"/>
      <c r="BA55">
        <f t="shared" si="13"/>
        <v>8.0000000000000057E-2</v>
      </c>
      <c r="BB55" s="48">
        <f t="shared" si="12"/>
        <v>4.0212385965949382</v>
      </c>
      <c r="BC55" s="69">
        <f t="shared" ca="1" si="44"/>
        <v>-45.185052155222145</v>
      </c>
      <c r="BD55" s="69">
        <f t="shared" ca="1" si="45"/>
        <v>-41.045998361614096</v>
      </c>
      <c r="BE55" s="70">
        <f t="shared" ca="1" si="46"/>
        <v>132.7655612478404</v>
      </c>
      <c r="BF55" s="70">
        <f t="shared" ca="1" si="47"/>
        <v>19.486156211444047</v>
      </c>
      <c r="BG55" s="70">
        <f t="shared" ca="1" si="48"/>
        <v>-46.107398568598619</v>
      </c>
      <c r="BH55" s="70">
        <f t="shared" ca="1" si="49"/>
        <v>0</v>
      </c>
      <c r="BI55" s="70">
        <f t="shared" ca="1" si="50"/>
        <v>0</v>
      </c>
      <c r="BJ55" s="70">
        <f t="shared" ca="1" si="51"/>
        <v>0</v>
      </c>
    </row>
    <row r="56" spans="3:62" x14ac:dyDescent="0.25">
      <c r="C56" s="22"/>
      <c r="BA56">
        <f t="shared" si="13"/>
        <v>8.2000000000000059E-2</v>
      </c>
      <c r="BB56" s="48">
        <f t="shared" si="12"/>
        <v>4.1217695615098116</v>
      </c>
      <c r="BC56" s="69">
        <f t="shared" ca="1" si="44"/>
        <v>-55.770726456425578</v>
      </c>
      <c r="BD56" s="69">
        <f t="shared" ca="1" si="45"/>
        <v>-33.181623493244857</v>
      </c>
      <c r="BE56" s="70">
        <f t="shared" ca="1" si="46"/>
        <v>133.41725957177979</v>
      </c>
      <c r="BF56" s="70">
        <f t="shared" ca="1" si="47"/>
        <v>19.012400922809867</v>
      </c>
      <c r="BG56" s="70">
        <f t="shared" ca="1" si="48"/>
        <v>-45.862161086907228</v>
      </c>
      <c r="BH56" s="70">
        <f t="shared" ca="1" si="49"/>
        <v>0</v>
      </c>
      <c r="BI56" s="70">
        <f t="shared" ca="1" si="50"/>
        <v>0</v>
      </c>
      <c r="BJ56" s="70">
        <f t="shared" ca="1" si="51"/>
        <v>0</v>
      </c>
    </row>
    <row r="57" spans="3:62" x14ac:dyDescent="0.25">
      <c r="BA57">
        <f t="shared" si="13"/>
        <v>8.4000000000000061E-2</v>
      </c>
      <c r="BB57" s="48">
        <f t="shared" si="12"/>
        <v>4.2223005264246849</v>
      </c>
      <c r="BC57" s="69">
        <f t="shared" ca="1" si="44"/>
        <v>-70.03548979678304</v>
      </c>
      <c r="BD57" s="69">
        <f t="shared" ca="1" si="45"/>
        <v>-25.009664927112485</v>
      </c>
      <c r="BE57" s="70">
        <f t="shared" ca="1" si="46"/>
        <v>137.36520461767967</v>
      </c>
      <c r="BF57" s="70">
        <f t="shared" ca="1" si="47"/>
        <v>19.528109093308416</v>
      </c>
      <c r="BG57" s="70">
        <f t="shared" ca="1" si="48"/>
        <v>-44.785287612000545</v>
      </c>
      <c r="BH57" s="70">
        <f t="shared" ca="1" si="49"/>
        <v>0</v>
      </c>
      <c r="BI57" s="70">
        <f t="shared" ca="1" si="50"/>
        <v>0</v>
      </c>
      <c r="BJ57" s="70">
        <f t="shared" ca="1" si="51"/>
        <v>0</v>
      </c>
    </row>
    <row r="58" spans="3:62" x14ac:dyDescent="0.25">
      <c r="BA58">
        <f t="shared" si="13"/>
        <v>8.6000000000000063E-2</v>
      </c>
      <c r="BB58" s="48">
        <f t="shared" si="12"/>
        <v>4.3228314913395582</v>
      </c>
      <c r="BC58" s="69">
        <f t="shared" ca="1" si="44"/>
        <v>-75.753296013359716</v>
      </c>
      <c r="BD58" s="69">
        <f t="shared" ca="1" si="45"/>
        <v>-16.642161667258776</v>
      </c>
      <c r="BE58" s="70">
        <f t="shared" ca="1" si="46"/>
        <v>131.9182780613676</v>
      </c>
      <c r="BF58" s="70">
        <f t="shared" ca="1" si="47"/>
        <v>19.236687024200513</v>
      </c>
      <c r="BG58" s="70">
        <f t="shared" ca="1" si="48"/>
        <v>-45.165267279964112</v>
      </c>
      <c r="BH58" s="70">
        <f t="shared" ca="1" si="49"/>
        <v>0</v>
      </c>
      <c r="BI58" s="70">
        <f t="shared" ca="1" si="50"/>
        <v>0</v>
      </c>
      <c r="BJ58" s="70">
        <f t="shared" ca="1" si="51"/>
        <v>0</v>
      </c>
    </row>
    <row r="59" spans="3:62" x14ac:dyDescent="0.25">
      <c r="BA59">
        <f t="shared" si="13"/>
        <v>8.8000000000000064E-2</v>
      </c>
      <c r="BB59" s="48">
        <f t="shared" si="12"/>
        <v>4.4233624562544316</v>
      </c>
      <c r="BC59" s="69">
        <f t="shared" ca="1" si="44"/>
        <v>-85.952652873608827</v>
      </c>
      <c r="BD59" s="69">
        <f t="shared" ca="1" si="45"/>
        <v>-3.7752554325652499</v>
      </c>
      <c r="BE59" s="70">
        <f t="shared" ca="1" si="46"/>
        <v>129.44076677226795</v>
      </c>
      <c r="BF59" s="70">
        <f t="shared" ca="1" si="47"/>
        <v>17.15026691389507</v>
      </c>
      <c r="BG59" s="70">
        <f t="shared" ca="1" si="48"/>
        <v>-44.504268728136452</v>
      </c>
      <c r="BH59" s="70">
        <f t="shared" ca="1" si="49"/>
        <v>0</v>
      </c>
      <c r="BI59" s="70">
        <f t="shared" ca="1" si="50"/>
        <v>0</v>
      </c>
      <c r="BJ59" s="70">
        <f t="shared" ca="1" si="51"/>
        <v>0</v>
      </c>
    </row>
    <row r="60" spans="3:62" x14ac:dyDescent="0.25">
      <c r="BA60">
        <f t="shared" si="13"/>
        <v>9.0000000000000066E-2</v>
      </c>
      <c r="BB60" s="48">
        <f t="shared" si="12"/>
        <v>4.5238934211693058</v>
      </c>
      <c r="BC60" s="69">
        <f t="shared" ca="1" si="44"/>
        <v>-96.277034665243178</v>
      </c>
      <c r="BD60" s="69">
        <f t="shared" ca="1" si="45"/>
        <v>5.6369572825367174</v>
      </c>
      <c r="BE60" s="70">
        <f t="shared" ca="1" si="46"/>
        <v>127.90474398132828</v>
      </c>
      <c r="BF60" s="70">
        <f t="shared" ca="1" si="47"/>
        <v>16.627333162685257</v>
      </c>
      <c r="BG60" s="70">
        <f t="shared" ca="1" si="48"/>
        <v>-43.025644644911928</v>
      </c>
      <c r="BH60" s="70">
        <f t="shared" ca="1" si="49"/>
        <v>0</v>
      </c>
      <c r="BI60" s="70">
        <f t="shared" ca="1" si="50"/>
        <v>0</v>
      </c>
      <c r="BJ60" s="70">
        <f t="shared" ca="1" si="51"/>
        <v>0</v>
      </c>
    </row>
    <row r="61" spans="3:62" x14ac:dyDescent="0.25">
      <c r="BA61">
        <f t="shared" si="13"/>
        <v>9.2000000000000068E-2</v>
      </c>
      <c r="BB61" s="48">
        <f t="shared" si="12"/>
        <v>4.6244243860841792</v>
      </c>
      <c r="BC61" s="69">
        <f t="shared" ca="1" si="44"/>
        <v>-102.53677427194755</v>
      </c>
      <c r="BD61" s="69">
        <f t="shared" ca="1" si="45"/>
        <v>16.307415762394587</v>
      </c>
      <c r="BE61" s="70">
        <f t="shared" ca="1" si="46"/>
        <v>126.48706450747925</v>
      </c>
      <c r="BF61" s="70">
        <f t="shared" ca="1" si="47"/>
        <v>15.226910893888132</v>
      </c>
      <c r="BG61" s="70">
        <f t="shared" ca="1" si="48"/>
        <v>-42.501765851268956</v>
      </c>
      <c r="BH61" s="70">
        <f t="shared" ca="1" si="49"/>
        <v>0</v>
      </c>
      <c r="BI61" s="70">
        <f t="shared" ca="1" si="50"/>
        <v>0</v>
      </c>
      <c r="BJ61" s="70">
        <f t="shared" ca="1" si="51"/>
        <v>0</v>
      </c>
    </row>
    <row r="62" spans="3:62" x14ac:dyDescent="0.25">
      <c r="BA62">
        <f t="shared" si="13"/>
        <v>9.400000000000007E-2</v>
      </c>
      <c r="BB62" s="48">
        <f t="shared" si="12"/>
        <v>4.7249553509990525</v>
      </c>
      <c r="BC62" s="69">
        <f t="shared" ca="1" si="44"/>
        <v>-104.09711872087264</v>
      </c>
      <c r="BD62" s="69">
        <f t="shared" ca="1" si="45"/>
        <v>24.723220740878503</v>
      </c>
      <c r="BE62" s="70">
        <f t="shared" ca="1" si="46"/>
        <v>117.1106145633412</v>
      </c>
      <c r="BF62" s="70">
        <f t="shared" ca="1" si="47"/>
        <v>14.152681503084368</v>
      </c>
      <c r="BG62" s="70">
        <f t="shared" ca="1" si="48"/>
        <v>-39.339500089321838</v>
      </c>
      <c r="BH62" s="70">
        <f t="shared" ca="1" si="49"/>
        <v>0</v>
      </c>
      <c r="BI62" s="70">
        <f t="shared" ca="1" si="50"/>
        <v>0</v>
      </c>
      <c r="BJ62" s="70">
        <f t="shared" ca="1" si="51"/>
        <v>0</v>
      </c>
    </row>
    <row r="63" spans="3:62" x14ac:dyDescent="0.25">
      <c r="BA63">
        <f t="shared" si="13"/>
        <v>9.6000000000000071E-2</v>
      </c>
      <c r="BB63" s="48">
        <f t="shared" si="12"/>
        <v>4.8254863159139258</v>
      </c>
      <c r="BC63" s="69">
        <f t="shared" ca="1" si="44"/>
        <v>-110.88628927407537</v>
      </c>
      <c r="BD63" s="69">
        <f t="shared" ca="1" si="45"/>
        <v>35.763791309745862</v>
      </c>
      <c r="BE63" s="70">
        <f t="shared" ca="1" si="46"/>
        <v>107.63436580531371</v>
      </c>
      <c r="BF63" s="70">
        <f t="shared" ca="1" si="47"/>
        <v>12.966243094372869</v>
      </c>
      <c r="BG63" s="70">
        <f t="shared" ca="1" si="48"/>
        <v>-37.152928545050905</v>
      </c>
      <c r="BH63" s="70">
        <f t="shared" ca="1" si="49"/>
        <v>0</v>
      </c>
      <c r="BI63" s="70">
        <f t="shared" ca="1" si="50"/>
        <v>0</v>
      </c>
      <c r="BJ63" s="70">
        <f t="shared" ca="1" si="51"/>
        <v>0</v>
      </c>
    </row>
    <row r="64" spans="3:62" x14ac:dyDescent="0.25">
      <c r="BA64">
        <f t="shared" si="13"/>
        <v>9.8000000000000073E-2</v>
      </c>
      <c r="BB64" s="48">
        <f t="shared" si="12"/>
        <v>4.9260172808287992</v>
      </c>
      <c r="BC64" s="69">
        <f t="shared" ca="1" si="44"/>
        <v>-113.81140054859824</v>
      </c>
      <c r="BD64" s="69">
        <f t="shared" ca="1" si="45"/>
        <v>46.914882389460715</v>
      </c>
      <c r="BE64" s="70">
        <f t="shared" ca="1" si="46"/>
        <v>103.8184620415884</v>
      </c>
      <c r="BF64" s="70">
        <f t="shared" ca="1" si="47"/>
        <v>11.402702599748823</v>
      </c>
      <c r="BG64" s="70">
        <f t="shared" ca="1" si="48"/>
        <v>-34.663011729217224</v>
      </c>
      <c r="BH64" s="70">
        <f t="shared" ca="1" si="49"/>
        <v>0</v>
      </c>
      <c r="BI64" s="70">
        <f t="shared" ca="1" si="50"/>
        <v>0</v>
      </c>
      <c r="BJ64" s="70">
        <f t="shared" ca="1" si="51"/>
        <v>0</v>
      </c>
    </row>
    <row r="65" spans="53:62" x14ac:dyDescent="0.25">
      <c r="BA65">
        <f t="shared" si="13"/>
        <v>0.10000000000000007</v>
      </c>
      <c r="BB65" s="48">
        <f t="shared" si="12"/>
        <v>5.0265482457436725</v>
      </c>
      <c r="BC65" s="69">
        <f t="shared" ca="1" si="44"/>
        <v>-112.36522604617198</v>
      </c>
      <c r="BD65" s="69">
        <f t="shared" ca="1" si="45"/>
        <v>51.322186926229392</v>
      </c>
      <c r="BE65" s="70">
        <f t="shared" ca="1" si="46"/>
        <v>94.30186734633223</v>
      </c>
      <c r="BF65" s="70">
        <f t="shared" ca="1" si="47"/>
        <v>9.2869332751532276</v>
      </c>
      <c r="BG65" s="70">
        <f t="shared" ca="1" si="48"/>
        <v>-31.393124121529805</v>
      </c>
      <c r="BH65" s="70">
        <f t="shared" ca="1" si="49"/>
        <v>0</v>
      </c>
      <c r="BI65" s="70">
        <f t="shared" ca="1" si="50"/>
        <v>0</v>
      </c>
      <c r="BJ65" s="70">
        <f t="shared" ca="1" si="51"/>
        <v>0</v>
      </c>
    </row>
    <row r="66" spans="53:62" x14ac:dyDescent="0.25">
      <c r="BA66">
        <f t="shared" si="13"/>
        <v>0.10200000000000008</v>
      </c>
      <c r="BB66" s="48">
        <f t="shared" si="12"/>
        <v>5.1270792106585459</v>
      </c>
      <c r="BC66" s="69">
        <f t="shared" ca="1" si="44"/>
        <v>-115.74491013510527</v>
      </c>
      <c r="BD66" s="69">
        <f t="shared" ca="1" si="45"/>
        <v>59.549641749838749</v>
      </c>
      <c r="BE66" s="70">
        <f t="shared" ca="1" si="46"/>
        <v>78.11479201653097</v>
      </c>
      <c r="BF66" s="70">
        <f t="shared" ca="1" si="47"/>
        <v>8.6592905420428448</v>
      </c>
      <c r="BG66" s="70">
        <f t="shared" ca="1" si="48"/>
        <v>-26.63325173515787</v>
      </c>
      <c r="BH66" s="70">
        <f t="shared" ca="1" si="49"/>
        <v>0</v>
      </c>
      <c r="BI66" s="70">
        <f t="shared" ca="1" si="50"/>
        <v>0</v>
      </c>
      <c r="BJ66" s="70">
        <f t="shared" ca="1" si="51"/>
        <v>0</v>
      </c>
    </row>
    <row r="67" spans="53:62" x14ac:dyDescent="0.25">
      <c r="BA67">
        <f t="shared" si="13"/>
        <v>0.10400000000000008</v>
      </c>
      <c r="BB67" s="48">
        <f t="shared" si="12"/>
        <v>5.2276101755734201</v>
      </c>
      <c r="BC67" s="69">
        <f t="shared" ca="1" si="44"/>
        <v>-116.07341731526087</v>
      </c>
      <c r="BD67" s="69">
        <f t="shared" ca="1" si="45"/>
        <v>64.391150278675468</v>
      </c>
      <c r="BE67" s="70">
        <f t="shared" ca="1" si="46"/>
        <v>67.43024601320576</v>
      </c>
      <c r="BF67" s="70">
        <f t="shared" ca="1" si="47"/>
        <v>6.1415201045902927</v>
      </c>
      <c r="BG67" s="70">
        <f t="shared" ca="1" si="48"/>
        <v>-23.382832207378161</v>
      </c>
      <c r="BH67" s="70">
        <f t="shared" ca="1" si="49"/>
        <v>0</v>
      </c>
      <c r="BI67" s="70">
        <f t="shared" ca="1" si="50"/>
        <v>0</v>
      </c>
      <c r="BJ67" s="70">
        <f t="shared" ca="1" si="51"/>
        <v>0</v>
      </c>
    </row>
    <row r="68" spans="53:62" x14ac:dyDescent="0.25">
      <c r="BA68">
        <f t="shared" si="13"/>
        <v>0.10600000000000008</v>
      </c>
      <c r="BB68" s="48">
        <f t="shared" si="12"/>
        <v>5.3281411404882935</v>
      </c>
      <c r="BC68" s="69">
        <f t="shared" ca="1" si="44"/>
        <v>-113.24039197564403</v>
      </c>
      <c r="BD68" s="69">
        <f t="shared" ca="1" si="45"/>
        <v>72.653607090480577</v>
      </c>
      <c r="BE68" s="70">
        <f t="shared" ca="1" si="46"/>
        <v>60.615482282028097</v>
      </c>
      <c r="BF68" s="70">
        <f t="shared" ca="1" si="47"/>
        <v>5.3562998454627504</v>
      </c>
      <c r="BG68" s="70">
        <f t="shared" ca="1" si="48"/>
        <v>-17.320647969289102</v>
      </c>
      <c r="BH68" s="70">
        <f t="shared" ca="1" si="49"/>
        <v>0</v>
      </c>
      <c r="BI68" s="70">
        <f t="shared" ca="1" si="50"/>
        <v>0</v>
      </c>
      <c r="BJ68" s="70">
        <f t="shared" ca="1" si="51"/>
        <v>0</v>
      </c>
    </row>
    <row r="69" spans="53:62" x14ac:dyDescent="0.25">
      <c r="BA69">
        <f t="shared" si="13"/>
        <v>0.10800000000000008</v>
      </c>
      <c r="BB69" s="48">
        <f t="shared" si="12"/>
        <v>5.4286721054031668</v>
      </c>
      <c r="BC69" s="69">
        <f t="shared" ca="1" si="44"/>
        <v>-112.4175372401192</v>
      </c>
      <c r="BD69" s="69">
        <f t="shared" ca="1" si="45"/>
        <v>75.427516589584158</v>
      </c>
      <c r="BE69" s="70">
        <f t="shared" ca="1" si="46"/>
        <v>44.85539369160086</v>
      </c>
      <c r="BF69" s="70">
        <f t="shared" ca="1" si="47"/>
        <v>3.5936545879178143</v>
      </c>
      <c r="BG69" s="70">
        <f t="shared" ca="1" si="48"/>
        <v>-13.649644596923853</v>
      </c>
      <c r="BH69" s="70">
        <f t="shared" ca="1" si="49"/>
        <v>0</v>
      </c>
      <c r="BI69" s="70">
        <f t="shared" ca="1" si="50"/>
        <v>0</v>
      </c>
      <c r="BJ69" s="70">
        <f t="shared" ca="1" si="51"/>
        <v>0</v>
      </c>
    </row>
    <row r="70" spans="53:62" x14ac:dyDescent="0.25">
      <c r="BA70">
        <f t="shared" si="13"/>
        <v>0.11000000000000008</v>
      </c>
      <c r="BB70" s="48">
        <f t="shared" si="12"/>
        <v>5.5292030703180401</v>
      </c>
      <c r="BC70" s="69">
        <f t="shared" ca="1" si="44"/>
        <v>-106.35749644561434</v>
      </c>
      <c r="BD70" s="69">
        <f t="shared" ca="1" si="45"/>
        <v>79.955141337390742</v>
      </c>
      <c r="BE70" s="70">
        <f t="shared" ca="1" si="46"/>
        <v>37.218260625689894</v>
      </c>
      <c r="BF70" s="70">
        <f t="shared" ca="1" si="47"/>
        <v>2.3602664037880947</v>
      </c>
      <c r="BG70" s="70">
        <f t="shared" ca="1" si="48"/>
        <v>-8.2284565043696265</v>
      </c>
      <c r="BH70" s="70">
        <f t="shared" ca="1" si="49"/>
        <v>0</v>
      </c>
      <c r="BI70" s="70">
        <f t="shared" ca="1" si="50"/>
        <v>0</v>
      </c>
      <c r="BJ70" s="70">
        <f t="shared" ca="1" si="51"/>
        <v>0</v>
      </c>
    </row>
    <row r="71" spans="53:62" x14ac:dyDescent="0.25">
      <c r="BA71">
        <f t="shared" si="13"/>
        <v>0.11200000000000009</v>
      </c>
      <c r="BB71" s="48">
        <f t="shared" si="12"/>
        <v>5.6297340352329135</v>
      </c>
      <c r="BC71" s="69">
        <f t="shared" ca="1" si="44"/>
        <v>-100.99057906717717</v>
      </c>
      <c r="BD71" s="69">
        <f t="shared" ca="1" si="45"/>
        <v>84.739866070907652</v>
      </c>
      <c r="BE71" s="70">
        <f t="shared" ca="1" si="46"/>
        <v>19.562755675446109</v>
      </c>
      <c r="BF71" s="70">
        <f t="shared" ca="1" si="47"/>
        <v>1.0418830205092264</v>
      </c>
      <c r="BG71" s="70">
        <f t="shared" ca="1" si="48"/>
        <v>-3.6042255036403037</v>
      </c>
      <c r="BH71" s="70">
        <f t="shared" ca="1" si="49"/>
        <v>0</v>
      </c>
      <c r="BI71" s="70">
        <f t="shared" ca="1" si="50"/>
        <v>0</v>
      </c>
      <c r="BJ71" s="70">
        <f t="shared" ca="1" si="51"/>
        <v>0</v>
      </c>
    </row>
    <row r="72" spans="53:62" x14ac:dyDescent="0.25">
      <c r="BA72">
        <f t="shared" si="13"/>
        <v>0.11400000000000009</v>
      </c>
      <c r="BB72" s="48">
        <f t="shared" si="12"/>
        <v>5.7302650001477868</v>
      </c>
      <c r="BC72" s="69">
        <f t="shared" ca="1" si="44"/>
        <v>-93.357845771505751</v>
      </c>
      <c r="BD72" s="69">
        <f t="shared" ca="1" si="45"/>
        <v>88.162257423393328</v>
      </c>
      <c r="BE72" s="70">
        <f t="shared" ca="1" si="46"/>
        <v>7.2279144168793605</v>
      </c>
      <c r="BF72" s="70">
        <f t="shared" ca="1" si="47"/>
        <v>0.68074298135306011</v>
      </c>
      <c r="BG72" s="70">
        <f t="shared" ca="1" si="48"/>
        <v>3.4509205027915675</v>
      </c>
      <c r="BH72" s="70">
        <f t="shared" ca="1" si="49"/>
        <v>0</v>
      </c>
      <c r="BI72" s="70">
        <f t="shared" ca="1" si="50"/>
        <v>0</v>
      </c>
      <c r="BJ72" s="70">
        <f t="shared" ca="1" si="51"/>
        <v>0</v>
      </c>
    </row>
    <row r="73" spans="53:62" x14ac:dyDescent="0.25">
      <c r="BA73">
        <f t="shared" si="13"/>
        <v>0.11600000000000009</v>
      </c>
      <c r="BB73" s="48">
        <f t="shared" si="12"/>
        <v>5.8307959650626602</v>
      </c>
      <c r="BC73" s="69">
        <f t="shared" ca="1" si="44"/>
        <v>-85.425827464903151</v>
      </c>
      <c r="BD73" s="69">
        <f t="shared" ca="1" si="45"/>
        <v>90.083527806848295</v>
      </c>
      <c r="BE73" s="70">
        <f t="shared" ca="1" si="46"/>
        <v>-7.8703581526397715</v>
      </c>
      <c r="BF73" s="70">
        <f t="shared" ca="1" si="47"/>
        <v>-0.28159122993697316</v>
      </c>
      <c r="BG73" s="70">
        <f t="shared" ca="1" si="48"/>
        <v>8.6221192393281569</v>
      </c>
      <c r="BH73" s="70">
        <f t="shared" ca="1" si="49"/>
        <v>0</v>
      </c>
      <c r="BI73" s="70">
        <f t="shared" ca="1" si="50"/>
        <v>0</v>
      </c>
      <c r="BJ73" s="70">
        <f t="shared" ca="1" si="51"/>
        <v>0</v>
      </c>
    </row>
    <row r="74" spans="53:62" x14ac:dyDescent="0.25">
      <c r="BA74">
        <f t="shared" si="13"/>
        <v>0.11800000000000009</v>
      </c>
      <c r="BB74" s="48">
        <f t="shared" si="12"/>
        <v>5.9313269299775344</v>
      </c>
      <c r="BC74" s="69">
        <f t="shared" ca="1" si="44"/>
        <v>-78.194449808828566</v>
      </c>
      <c r="BD74" s="69">
        <f t="shared" ca="1" si="45"/>
        <v>89.699275265095565</v>
      </c>
      <c r="BE74" s="70">
        <f t="shared" ca="1" si="46"/>
        <v>-20.40278412983178</v>
      </c>
      <c r="BF74" s="70">
        <f t="shared" ca="1" si="47"/>
        <v>-1.7496726333367092</v>
      </c>
      <c r="BG74" s="70">
        <f t="shared" ca="1" si="48"/>
        <v>14.790341244794485</v>
      </c>
      <c r="BH74" s="70">
        <f t="shared" ca="1" si="49"/>
        <v>0</v>
      </c>
      <c r="BI74" s="70">
        <f t="shared" ca="1" si="50"/>
        <v>0</v>
      </c>
      <c r="BJ74" s="70">
        <f t="shared" ca="1" si="51"/>
        <v>0</v>
      </c>
    </row>
    <row r="75" spans="53:62" x14ac:dyDescent="0.25">
      <c r="BA75">
        <f t="shared" si="13"/>
        <v>0.12000000000000009</v>
      </c>
      <c r="BB75" s="48">
        <f t="shared" si="12"/>
        <v>6.0318578948924078</v>
      </c>
      <c r="BC75" s="69">
        <f t="shared" ca="1" si="44"/>
        <v>-67.437175128900947</v>
      </c>
      <c r="BD75" s="69">
        <f t="shared" ca="1" si="45"/>
        <v>93.259470736614986</v>
      </c>
      <c r="BE75" s="70">
        <f t="shared" ca="1" si="46"/>
        <v>-30.997019219062135</v>
      </c>
      <c r="BF75" s="70">
        <f t="shared" ca="1" si="47"/>
        <v>-3.6700028998912151</v>
      </c>
      <c r="BG75" s="70">
        <f t="shared" ca="1" si="48"/>
        <v>20.066367460238837</v>
      </c>
      <c r="BH75" s="70">
        <f t="shared" ca="1" si="49"/>
        <v>0</v>
      </c>
      <c r="BI75" s="70">
        <f t="shared" ca="1" si="50"/>
        <v>0</v>
      </c>
      <c r="BJ75" s="70">
        <f t="shared" ca="1" si="51"/>
        <v>0</v>
      </c>
    </row>
    <row r="76" spans="53:62" x14ac:dyDescent="0.25">
      <c r="BA76">
        <f t="shared" si="13"/>
        <v>0.12200000000000009</v>
      </c>
      <c r="BB76" s="48">
        <f t="shared" si="12"/>
        <v>6.1323888598072811</v>
      </c>
      <c r="BC76" s="69">
        <f t="shared" ca="1" si="44"/>
        <v>-57.623320416169449</v>
      </c>
      <c r="BD76" s="69">
        <f t="shared" ca="1" si="45"/>
        <v>92.316932633607834</v>
      </c>
      <c r="BE76" s="70">
        <f t="shared" ca="1" si="46"/>
        <v>-38.86493145834698</v>
      </c>
      <c r="BF76" s="70">
        <f t="shared" ca="1" si="47"/>
        <v>-4.7882288666055457</v>
      </c>
      <c r="BG76" s="70">
        <f t="shared" ca="1" si="48"/>
        <v>23.000021164207507</v>
      </c>
      <c r="BH76" s="70">
        <f t="shared" ca="1" si="49"/>
        <v>0</v>
      </c>
      <c r="BI76" s="70">
        <f t="shared" ca="1" si="50"/>
        <v>0</v>
      </c>
      <c r="BJ76" s="70">
        <f t="shared" ca="1" si="51"/>
        <v>0</v>
      </c>
    </row>
    <row r="77" spans="53:62" x14ac:dyDescent="0.25">
      <c r="BA77">
        <f t="shared" si="13"/>
        <v>0.1240000000000001</v>
      </c>
      <c r="BB77" s="48">
        <f t="shared" si="12"/>
        <v>6.2329198247221544</v>
      </c>
      <c r="BC77" s="69">
        <f t="shared" ca="1" si="44"/>
        <v>-51.104840887470139</v>
      </c>
      <c r="BD77" s="69">
        <f t="shared" ca="1" si="45"/>
        <v>93.123242248601727</v>
      </c>
      <c r="BE77" s="70">
        <f t="shared" ca="1" si="46"/>
        <v>-51.09461183975754</v>
      </c>
      <c r="BF77" s="70">
        <f t="shared" ca="1" si="47"/>
        <v>-6.7252283269191668</v>
      </c>
      <c r="BG77" s="70">
        <f t="shared" ca="1" si="48"/>
        <v>27.454859834922452</v>
      </c>
      <c r="BH77" s="70">
        <f t="shared" ca="1" si="49"/>
        <v>0</v>
      </c>
      <c r="BI77" s="70">
        <f t="shared" ca="1" si="50"/>
        <v>0</v>
      </c>
      <c r="BJ77" s="70">
        <f t="shared" ca="1" si="51"/>
        <v>0</v>
      </c>
    </row>
    <row r="78" spans="53:62" x14ac:dyDescent="0.25">
      <c r="BA78">
        <f t="shared" si="13"/>
        <v>0.12600000000000008</v>
      </c>
      <c r="BB78" s="48">
        <f t="shared" si="12"/>
        <v>6.3334507896370269</v>
      </c>
      <c r="BC78" s="69">
        <f t="shared" ca="1" si="44"/>
        <v>-38.1440317177086</v>
      </c>
      <c r="BD78" s="69">
        <f t="shared" ca="1" si="45"/>
        <v>89.717801899218614</v>
      </c>
      <c r="BE78" s="70">
        <f t="shared" ca="1" si="46"/>
        <v>-63.455549847089188</v>
      </c>
      <c r="BF78" s="70">
        <f t="shared" ca="1" si="47"/>
        <v>-8.2968155298653876</v>
      </c>
      <c r="BG78" s="70">
        <f t="shared" ca="1" si="48"/>
        <v>32.380798390383966</v>
      </c>
      <c r="BH78" s="70">
        <f t="shared" ca="1" si="49"/>
        <v>0</v>
      </c>
      <c r="BI78" s="70">
        <f t="shared" ca="1" si="50"/>
        <v>0</v>
      </c>
      <c r="BJ78" s="70">
        <f t="shared" ca="1" si="51"/>
        <v>0</v>
      </c>
    </row>
    <row r="79" spans="53:62" x14ac:dyDescent="0.25">
      <c r="BA79">
        <f t="shared" si="13"/>
        <v>0.12800000000000009</v>
      </c>
      <c r="BB79" s="48">
        <f t="shared" si="12"/>
        <v>6.4339817545519002</v>
      </c>
      <c r="BC79" s="69">
        <f t="shared" ref="BC79:BC110" ca="1" si="53">D$25*$Z$5*MAGNET(D$24+BB79)+E$25*$Z$5*MAGNET(E$24+BB79)+F$25*$Z$5*MAGNET(F$24+BB79)+G$25*$Z$5*MAGNET(G$24+BB79)+H$25*$Z$5*MAGNET(H$24+BB79)+I$25*$Z$5*MAGNET(I$24+BB79)+J$25*$Z$5*MAGNET(J$24+BB79)+K$25*$Z$5*MAGNET(K$24+BB79)+L$25*$Z$5*MAGNET(L$24+BB79)+M$25*$Z$5*MAGNET(M$24+BB79)+N$25*$Z$5*MAGNET(N$24+BB79)+O$25*$Z$5*MAGNET(O$24+BB79)+P$25*$Z$5*MAGNET(P$24+BB79)+Q$25*$Z$5*MAGNET(Q$24+BB79)+R$25*$Z$5*MAGNET(R$24+BB79)+S$25*$Z$5*MAGNET(S$24+BB79)+T$25*$Z$5*MAGNET(T$24+BB79)+U$25*$Z$5*MAGNET(U$24+BB79)+V$25*$Z$5*MAGNET(V$24+BB79)+W$25*$Z$5*MAGNET(W$24+BB79)+X$25*$Z$5*MAGNET(X$24+BB79)+Y$25*$Z$5*MAGNET(Y$24+BB79)+Z$25*$Z$5*MAGNET(Z$24+BB79)+AA$25*$Z$5*MAGNET(AA$24+BB79)+AB$25*$Z$5*MAGNET(AB$24+BB79)+AC$25*$Z$5*MAGNET(AC$24+BB79)+AD$25*$Z$5*MAGNET(AD$24+BB79)+AE$25*$Z$5*MAGNET(AE$24+BB79)+AF$25*$Z$5*MAGNET(AF$24+BB79)+AG$25*$Z$5*MAGNET(AG$24+BB79)+AH$25*$Z$5*MAGNET(AH$24+BB79) +AI$25*$Z$5*MAGNET(AI$24+BB79) +AJ$25*$Z$5*MAGNET(AJ$24+BB79) +AK$25*$Z$5*MAGNET(AK$24+BB79) +AL$25*$Z$5*MAGNET(AL$24+BB79) +AM$25*$Z$5*MAGNET(AM$24+BB79) +AN$25*$Z$5*MAGNET(AN$24+BB79) +AO$25*$Z$5*MAGNET(AO$24+BB79)+RAND()*$BC$13+AP$25*$Z$5*MAGNET(AP$24+BB79)
+AQ$25*$Z$5*MAGNET(AQ$24+BB79)
+AR$25*$Z$5*MAGNET(AR$24+BB79)
+AS$25*$Z$5*MAGNET(AS$24+BB79)
+AT$25*$Z$5*MAGNET(AT$24+BB79)
+AU$25*$Z$5*MAGNET(AU$24+BB79)
+AV$25*$Z$5*MAGNET(AV$24+BB79)
+AW$25*$Z$5*MAGNET(AW$24+BB79)
+AX$25*$Z$5*MAGNET(AX$24+BB79)
+AY$25*$Z$5*MAGNET(AY$24+BB79)</f>
        <v>-26.206751449304516</v>
      </c>
      <c r="BD79" s="69">
        <f t="shared" ref="BD79:BD115" ca="1" si="54">E$26*$Z$5*MAGNET(E$24+$BB79)+F$26*$Z$5*MAGNET(F$24+$BB79)+G$26*$Z$5*MAGNET(G$24+$BB79)+H$26*$Z$5*MAGNET(H$24+$BB79)+I$26*$Z$5*MAGNET(I$24+$BB79)+J$26*$Z$5*MAGNET(J$24+$BB79)+K$26*$Z$5*MAGNET(K$24+$BB79)+L$26*$Z$5*MAGNET(L$24+$BB79)+M$26*$Z$5*MAGNET(M$24+$BB79)+N$26*$Z$5*MAGNET(N$24+$BB79)+O$26*$Z$5*MAGNET(O$24+$BB79)+P$26*$Z$5*MAGNET(P$24+$BB79)+Q$26*$Z$5*MAGNET(Q$24+$BB79)+R$26*$Z$5*MAGNET(R$24+$BB79)+S$26*$Z$5*MAGNET(S$24+$BB79)+T$26*$Z$5*MAGNET(T$24+$BB79)+U$26*$Z$5*MAGNET(U$24+$BB79)+V$26*$Z$5*MAGNET(V$24+$BB79)+W$26*$Z$5*MAGNET(W$24+$BB79)+X$26*$Z$5*MAGNET(X$24+$BB79)+Y$26*$Z$5*MAGNET(Y$24+$BB79)+Z$26*$Z$5*MAGNET(Z$24+$BB79)+AA$26*$Z$5*MAGNET(AA$24+$BB79)+AB$26*$Z$5*MAGNET(AB$24+$BB79)+AC$26*$Z$5*MAGNET(AC$24+$BB79)+AD$26*$Z$5*MAGNET(AD$24+$BB79)+AE$26*$Z$5*MAGNET(AE$24+$BB79)+AF$26*$Z$5*MAGNET(AF$24+$BB79)+AG$26*$Z$5*MAGNET(AG$24+$BB79)+D$26*$Z$5*MAGNET(D$24+$BB79)+AH$26*$Z$5*MAGNET(AH$24+BB79) +AI$26*$Z$5*MAGNET(AI$24+BB79) +AJ$26*$Z$5*MAGNET(AJ$24+BB79) +AK$26*$Z$5*MAGNET(AK$24+BB79) +AL$26*$Z$5*MAGNET(AL$24+BB79) +AM$26*$Z$5*MAGNET(AM$24+BB79) +AN$26*$Z$5*MAGNET(AN$24+BB79) +AO$26*$Z$5*MAGNET(AO$24+BB79) +AP$26*$Z$5*MAGNET(AP$24+$BB79)
+AQ$26*$Z$5*MAGNET(AQ$24+$BB79)
+AR$26*$Z$5*MAGNET(AR$24+$BB79)
+AS$26*$Z$5*MAGNET(AS$24+$BB79)
+AT$26*$Z$5*MAGNET(AT$24+$BB79)
+AU$26*$Z$5*MAGNET(AU$24+$BB79)
+AV$26*$Z$5*MAGNET(AV$24+$BB79)
+AW$26*$Z$5*MAGNET(AW$24+$BB79)
+AX$26*$Z$5*MAGNET(AX$24+$BB79)
+AY$26*$Z$5*MAGNET(AY$24+$BB79) +RAND()*$BD$13</f>
        <v>88.122023206096927</v>
      </c>
      <c r="BE79" s="70">
        <f t="shared" ref="BE79:BE115" ca="1" si="55">E$27*$Z$5*MAGNET(E$24+$BB79)+F$27*$Z$5*MAGNET(F$24+$BB79)+G$27*$Z$5*MAGNET(G$24+$BB79)+H$27*$Z$5*MAGNET(H$24+$BB79)+I$27*$Z$5*MAGNET(I$24+$BB79)+J$27*$Z$5*MAGNET(J$24+$BB79)+K$27*$Z$5*MAGNET(K$24+$BB79)+L$27*$Z$5*MAGNET(L$24+$BB79)+M$27*$Z$5*MAGNET(M$24+$BB79)+N$27*$Z$5*MAGNET(N$24+$BB79)+O$27*$Z$5*MAGNET(O$24+$BB79)+P$27*$Z$5*MAGNET(P$24+$BB79)+Q$27*$Z$5*MAGNET(Q$24+$BB79)+R$27*$Z$5*MAGNET(R$24+$BB79)+S$27*$Z$5*MAGNET(S$24+$BB79)+T$27*$Z$5*MAGNET(T$24+$BB79)+U$27*$Z$5*MAGNET(U$24+$BB79)+V$27*$Z$5*MAGNET(V$24+$BB79)+W$27*$Z$5*MAGNET(W$24+$BB79)+X$27*$Z$5*MAGNET(X$24+$BB79)+Y$27*$Z$5*MAGNET(Y$24+$BB79)+Z$27*$Z$5*MAGNET(Z$24+$BB79)+AA$27*$Z$5*MAGNET(AA$24+$BB79)+AB$27*$Z$5*MAGNET(AB$24+$BB79)+AC$27*$Z$5*MAGNET(AC$24+$BB79)+AD$27*$Z$5*MAGNET(AD$24+$BB79)+AE$27*$Z$5*MAGNET(AE$24+$BB79)+AF$27*$Z$5*MAGNET(AF$24+$BB79)+AG$27*$Z$5*MAGNET(AG$24+$BB79)+D$27*$Z$5*MAGNET(D$24+$BB79)+AH$27*$Z$5*MAGNET(AH$24+BB79) +AI$27*$Z$5*MAGNET(AI$24+BB79) +AJ$27*$Z$5*MAGNET(AJ$24+BB79) +AK$27*$Z$5*MAGNET(AK$24+BB79) +AL$27*$Z$5*MAGNET(AL$24+BB79) +AM$27*$Z$5*MAGNET(AM$24+BB79) +AN$27*$Z$5*MAGNET(AN$24+BB79) +AO$27*$Z$5*MAGNET(AO$24+BB79) +AP$27*$Z$5*MAGNET(AP$24+$BB79)
+AQ$27*$Z$5*MAGNET(AQ$24+$BB79)
+AR$27*$Z$5*MAGNET(AR$24+$BB79)
+AS$27*$Z$5*MAGNET(AS$24+$BB79)
+AT$27*$Z$5*MAGNET(AT$24+$BB79)
+AU$27*$Z$5*MAGNET(AU$24+$BB79)
+AV$27*$Z$5*MAGNET(AV$24+$BB79)
+AW$27*$Z$5*MAGNET(AW$24+$BB79)
+AX$27*$Z$5*MAGNET(AX$24+$BB79)
+AY$27*$Z$5*MAGNET(AY$24+$BB79) +RAND()*$BE$13</f>
        <v>-74.981757554016255</v>
      </c>
      <c r="BF79" s="70">
        <f t="shared" ref="BF79:BF115" ca="1" si="56">E$28*$Z$5*MAGNET(E$24+$BB79)+F$28*$Z$5*MAGNET(F$24+$BB79)+G$28*$Z$5*MAGNET(G$24+$BB79)+H$28*$Z$5*MAGNET(H$24+$BB79)+I$28*$Z$5*MAGNET(I$24+$BB79)+J$28*$Z$5*MAGNET(J$24+$BB79)+K$28*$Z$5*MAGNET(K$24+$BB79)+L$28*$Z$5*MAGNET(L$24+$BB79)+M$28*$Z$5*MAGNET(M$24+$BB79)+N$28*$Z$5*MAGNET(N$24+$BB79)+O$28*$Z$5*MAGNET(O$24+$BB79)+P$28*$Z$5*MAGNET(P$24+$BB79)+Q$28*$Z$5*MAGNET(Q$24+$BB79)+R$28*$Z$5*MAGNET(R$24+$BB79)+S$28*$Z$5*MAGNET(S$24+$BB79)+T$28*$Z$5*MAGNET(T$24+$BB79)+U$28*$Z$5*MAGNET(U$24+$BB79)+V$28*$Z$5*MAGNET(V$24+$BB79)+W$28*$Z$5*MAGNET(W$24+$BB79)+X$28*$Z$5*MAGNET(X$24+$BB79)+Y$28*$Z$5*MAGNET(Y$24+$BB79)+Z$28*$Z$5*MAGNET(Z$24+$BB79)+AA$28*$Z$5*MAGNET(AA$24+$BB79)+AB$28*$Z$5*MAGNET(AB$24+$BB79)+AC$28*$Z$5*MAGNET(AC$24+$BB79)+AD$28*$Z$5*MAGNET(AD$24+$BB79)+AE$28*$Z$5*MAGNET(AE$24+$BB79)+AF$28*$Z$5*MAGNET(AF$24+$BB79)+AG$28*$Z$5*MAGNET(AG$24+$BB79)+D$28*$Z$5*MAGNET(D$24+$BB79)+AH$28*$Z$5*MAGNET(AH$24+BB79) +AI$28*$Z$5*MAGNET(AI$24+BB79) +AJ$28*$Z$5*MAGNET(AJ$24+BB79) +AK$28*$Z$5*MAGNET(AK$24+BB79) +AL$28*$Z$5*MAGNET(AL$24+BB79) +AM$28*$Z$5*MAGNET(AM$24+BB79) +AN$28*$Z$5*MAGNET(AN$24+BB79) +AO$28*$Z$5*MAGNET(AO$24+BB79) +AP$28*$Z$5*MAGNET(AP$24+$BB79)
+AQ$28*$Z$5*MAGNET(AQ$24+$BB79)
+AR$28*$Z$5*MAGNET(AR$24+$BB79)
+AS$28*$Z$5*MAGNET(AS$24+$BB79)
+AT$28*$Z$5*MAGNET(AT$24+$BB79)
+AU$28*$Z$5*MAGNET(AU$24+$BB79)
+AV$28*$Z$5*MAGNET(AV$24+$BB79)
+AW$28*$Z$5*MAGNET(AW$24+$BB79)
+AX$28*$Z$5*MAGNET(AX$24+$BB79)
+AY$28*$Z$5*MAGNET(AY$24+$BB79) +RAND()*$BF$13</f>
        <v>-9.8997438999766914</v>
      </c>
      <c r="BG79" s="70">
        <f t="shared" ref="BG79:BG115" ca="1" si="57">E$29*$Z$5*MAGNET(E$24+$BB79)+F$29*$Z$5*MAGNET(F$24+$BB79)+G$29*$Z$5*MAGNET(G$24+$BB79)+H$29*$Z$5*MAGNET(H$24+$BB79)+I$29*$Z$5*MAGNET(I$24+$BB79)+J$29*$Z$5*MAGNET(J$24+$BB79)+K$29*$Z$5*MAGNET(K$24+$BB79)+L$29*$Z$5*MAGNET(L$24+$BB79)+M$29*$Z$5*MAGNET(M$24+$BB79)+N$29*$Z$5*MAGNET(N$24+$BB79)+O$29*$Z$5*MAGNET(O$24+$BB79)+P$29*$Z$5*MAGNET(P$24+$BB79)+Q$29*$Z$5*MAGNET(Q$24+$BB79)+R$29*$Z$5*MAGNET(R$24+$BB79)+S$29*$Z$5*MAGNET(S$24+$BB79)+T$29*$Z$5*MAGNET(T$24+$BB79)+U$29*$Z$5*MAGNET(U$24+$BB79)+V$29*$Z$5*MAGNET(V$24+$BB79)+W$29*$Z$5*MAGNET(W$24+$BB79)+X$29*$Z$5*MAGNET(X$24+$BB79)+Y$29*$Z$5*MAGNET(Y$24+$BB79)+Z$29*$Z$5*MAGNET(Z$24+$BB79)+AA$29*$Z$5*MAGNET(AA$24+$BB79)+AB$29*$Z$5*MAGNET(AB$24+$BB79)+AC$29*$Z$5*MAGNET(AC$24+$BB79)+AD$29*$Z$5*MAGNET(AD$24+$BB79)+AE$29*$Z$5*MAGNET(AE$24+$BB79)+AF$29*$Z$5*MAGNET(AF$24+$BB79)+AG$29*$Z$5*MAGNET(AG$24+$BB79)+D$29*$Z$5*MAGNET(D$24+$BB79)+AH$29*$Z$5*MAGNET(AH$24+BB79) +AI$29*$Z$5*MAGNET(AI$24+BB79) +AJ$29*$Z$5*MAGNET(AJ$24+BB79) +AK$29*$Z$5*MAGNET(AK$24+BB79) +AL$29*$Z$5*MAGNET(AL$24+BB79) +AM$29*$Z$5*MAGNET(AM$24+BB79) +AN$29*$Z$5*MAGNET(AN$24+BB79) +AO$29*$Z$5*MAGNET(AO$24+BB79) +AP$29*$Z$5*MAGNET(AP$24+$BB79)
+AQ$29*$Z$5*MAGNET(AQ$24+$BB79)
+AR$29*$Z$5*MAGNET(AR$24+$BB79)
+AS$29*$Z$5*MAGNET(AS$24+$BB79)
+AT$29*$Z$5*MAGNET(AT$24+$BB79)
+AU$29*$Z$5*MAGNET(AU$24+$BB79)
+AV$29*$Z$5*MAGNET(AV$24+$BB79)
+AW$29*$Z$5*MAGNET(AW$24+$BB79)
+AX$29*$Z$5*MAGNET(AX$24+$BB79)
+AY$29*$Z$5*MAGNET(AY$24+$BB79) +RAND()*$BG$13</f>
        <v>35.873553682426937</v>
      </c>
      <c r="BH79" s="70">
        <f t="shared" ref="BH79:BH115" ca="1" si="58">E$30*$Z$5*MAGNET(E$24+$BB79)+F$30*$Z$5*MAGNET(F$24+$BB79)+G$30*$Z$5*MAGNET(G$24+$BB79)+H$30*$Z$5*MAGNET(H$24+$BB79)+I$30*$Z$5*MAGNET(I$24+$BB79)+J$30*$Z$5*MAGNET(J$24+$BB79)+K$30*$Z$5*MAGNET(K$24+$BB79)+L$30*$Z$5*MAGNET(L$24+$BB79)+M$30*$Z$5*MAGNET(M$24+$BB79)+N$30*$Z$5*MAGNET(N$24+$BB79)+O$30*$Z$5*MAGNET(O$24+$BB79)+P$30*$Z$5*MAGNET(P$24+$BB79)+Q$30*$Z$5*MAGNET(Q$24+$BB79)+R$30*$Z$5*MAGNET(R$24+$BB79)+S$30*$Z$5*MAGNET(S$24+$BB79)+T$30*$Z$5*MAGNET(T$24+$BB79)+U$30*$Z$5*MAGNET(U$24+$BB79)+V$30*$Z$5*MAGNET(V$24+$BB79)+W$30*$Z$5*MAGNET(W$24+$BB79)+X$30*$Z$5*MAGNET(X$24+$BB79)+Y$30*$Z$5*MAGNET(Y$24+$BB79)+Z$30*$Z$5*MAGNET(Z$24+$BB79)+AA$30*$Z$5*MAGNET(AA$24+$BB79)+AB$30*$Z$5*MAGNET(AB$24+$BB79)+AC$30*$Z$5*MAGNET(AC$24+$BB79)+AD$30*$Z$5*MAGNET(AD$24+$BB79)+AE$30*$Z$5*MAGNET(AE$24+$BB79)+AF$30*$Z$5*MAGNET(AF$24+$BB79)+AG$30*$Z$5*MAGNET(AG$24+$BB79)+D$30*$Z$5*MAGNET(D$24+$BB79)+AH$30*$Z$5*MAGNET(AH$24+BB79) +AI$30*$Z$5*MAGNET(AI$24+BB79) +AJ$30*$Z$5*MAGNET(AJ$24+BB79) +AK$30*$Z$5*MAGNET(AK$24+BB79) +AL$30*$Z$5*MAGNET(AL$24+BB79) +AM$30*$Z$5*MAGNET(AM$24+BB79) +AN$30*$Z$5*MAGNET(AN$24+BB79) +AO$30*$Z$5*MAGNET(AO$24+BB79) +AP$30*$Z$5*MAGNET(AP$24+$BB79)
+AQ$30*$Z$5*MAGNET(AQ$24+$BB79)
+AR$30*$Z$5*MAGNET(AR$24+$BB79)
+AS$30*$Z$5*MAGNET(AS$24+$BB79)
+AT$30*$Z$5*MAGNET(AT$24+$BB79)
+AU$30*$Z$5*MAGNET(AU$24+$BB79)
+AV$30*$Z$5*MAGNET(AV$24+$BB79)
+AW$30*$Z$5*MAGNET(AW$24+$BB79)
+AX$30*$Z$5*MAGNET(AX$24+$BB79)
+AY$30*$Z$5*MAGNET(AY$24+$BB79) +RAND()*$BH$13</f>
        <v>0</v>
      </c>
      <c r="BI79" s="70">
        <f t="shared" ref="BI79:BI115" ca="1" si="59">E$31*$Z$5*MAGNET(E$24+$BB79)+F$31*$Z$5*MAGNET(F$24+$BB79)+G$31*$Z$5*MAGNET(G$24+$BB79)+H$31*$Z$5*MAGNET(H$24+$BB79)+I$31*$Z$5*MAGNET(I$24+$BB79)+J$31*$Z$5*MAGNET(J$24+$BB79)+K$31*$Z$5*MAGNET(K$24+$BB79)+L$31*$Z$5*MAGNET(L$24+$BB79)+M$31*$Z$5*MAGNET(M$24+$BB79)+N$31*$Z$5*MAGNET(N$24+$BB79)+O$31*$Z$5*MAGNET(O$24+$BB79)+P$31*$Z$5*MAGNET(P$24+$BB79)+Q$31*$Z$5*MAGNET(Q$24+$BB79)+R$31*$Z$5*MAGNET(R$24+$BB79)+S$31*$Z$5*MAGNET(S$24+$BB79)+T$31*$Z$5*MAGNET(T$24+$BB79)+U$31*$Z$5*MAGNET(U$24+$BB79)+V$31*$Z$5*MAGNET(V$24+$BB79)+W$31*$Z$5*MAGNET(W$24+$BB79)+X$31*$Z$5*MAGNET(X$24+$BB79)+Y$31*$Z$5*MAGNET(Y$24+$BB79)+Z$31*$Z$5*MAGNET(Z$24+$BB79)+AA$31*$Z$5*MAGNET(AA$24+$BB79)+AB$31*$Z$5*MAGNET(AB$24+$BB79)+AC$31*$Z$5*MAGNET(AC$24+$BB79)+AD$31*$Z$5*MAGNET(AD$24+$BB79)+AE$31*$Z$5*MAGNET(AE$24+$BB79)+AF$31*$Z$5*MAGNET(AF$24+$BB79)+AG$31*$Z$5*MAGNET(AG$24+$BB79)+D$31*$Z$5*MAGNET(D$24+$BB79)+AH$31*$Z$5*MAGNET(AH$24+BB79) +AI$31*$Z$5*MAGNET(AI$24+BB79) +AJ$31*$Z$5*MAGNET(AJ$24+BB79) +AK$31*$Z$5*MAGNET(AK$24+BB79) +AL$31*$Z$5*MAGNET(AL$24+BB79) +AM$31*$Z$5*MAGNET(AM$24+BB79) +AN$31*$Z$5*MAGNET(AN$24+BB79) +AO$31*$Z$5*MAGNET(AO$24+BB79) +AP$31*$Z$5*MAGNET(AP$24+$BB79)
+AQ$31*$Z$5*MAGNET(AQ$24+$BB79)
+AR$31*$Z$5*MAGNET(AR$24+$BB79)
+AS$31*$Z$5*MAGNET(AS$24+$BB79)
+AT$31*$Z$5*MAGNET(AT$24+$BB79)
+AU$31*$Z$5*MAGNET(AU$24+$BB79)
+AV$31*$Z$5*MAGNET(AV$24+$BB79)
+AW$31*$Z$5*MAGNET(AW$24+$BB79)
+AX$31*$Z$5*MAGNET(AX$24+$BB79)
+AY$31*$Z$5*MAGNET(AY$24+$BB79) +RAND()*$BI$13</f>
        <v>0</v>
      </c>
      <c r="BJ79" s="70">
        <f t="shared" ref="BJ79:BJ115" ca="1" si="60">E$32*$Z$5*MAGNET(E$24+$BB79)+F$32*$Z$5*MAGNET(F$24+$BB79)+G$32*$Z$5*MAGNET(G$24+$BB79)+H$32*$Z$5*MAGNET(H$24+$BB79)+I$32*$Z$5*MAGNET(I$24+$BB79)+J$32*$Z$5*MAGNET(J$24+$BB79)+K$32*$Z$5*MAGNET(K$24+$BB79)+L$32*$Z$5*MAGNET(L$24+$BB79)+M$32*$Z$5*MAGNET(M$24+$BB79)+N$32*$Z$5*MAGNET(N$24+$BB79)+O$32*$Z$5*MAGNET(O$24+$BB79)+P$32*$Z$5*MAGNET(P$24+$BB79)+Q$32*$Z$5*MAGNET(Q$24+$BB79)+R$32*$Z$5*MAGNET(R$24+$BB79)+S$32*$Z$5*MAGNET(S$24+$BB79)+T$32*$Z$5*MAGNET(T$24+$BB79)+U$32*$Z$5*MAGNET(U$24+$BB79)+V$32*$Z$5*MAGNET(V$24+$BB79)+W$32*$Z$5*MAGNET(W$24+$BB79)+X$32*$Z$5*MAGNET(X$24+$BB79)+Y$32*$Z$5*MAGNET(Y$24+$BB79)+Z$32*$Z$5*MAGNET(Z$24+$BB79)+AA$32*$Z$5*MAGNET(AA$24+$BB79)+AB$32*$Z$5*MAGNET(AB$24+$BB79)+AC$32*$Z$5*MAGNET(AC$24+$BB79)+AD$32*$Z$5*MAGNET(AD$24+$BB79)+AE$32*$Z$5*MAGNET(AE$24+$BB79)+AF$32*$Z$5*MAGNET(AF$24+$BB79)+AG$32*$Z$5*MAGNET(AG$24+$BB79)+D$32*$Z$5*MAGNET(D$24+$BB79)+AH$32*$Z$5*MAGNET(AH$24+BB79) +AI$32*$Z$5*MAGNET(AI$24+BB79) +AJ$32*$Z$5*MAGNET(AJ$24+BB79) +AK$32*$Z$5*MAGNET(AK$24+BB79) +AL$32*$Z$5*MAGNET(AL$24+BB79) +AM$32*$Z$5*MAGNET(AM$24+BB79) +AN$32*$Z$5*MAGNET(AN$24+BB79) +AO$32*$Z$5*MAGNET(AO$24+BB79) +AP$32*$Z$5*MAGNET(AP$24+$BB79)
+AQ$32*$Z$5*MAGNET(AQ$24+$BB79)
+AR$32*$Z$5*MAGNET(AR$24+$BB79)
+AS$32*$Z$5*MAGNET(AS$24+$BB79)
+AT$32*$Z$5*MAGNET(AT$24+$BB79)
+AU$32*$Z$5*MAGNET(AU$24+$BB79)
+AV$32*$Z$5*MAGNET(AV$24+$BB79)
+AW$32*$Z$5*MAGNET(AW$24+$BB79)
+AX$32*$Z$5*MAGNET(AX$24+$BB79)
+AY$32*$Z$5*MAGNET(AY$24+$BB79) +RAND()*$BJ$13</f>
        <v>0</v>
      </c>
    </row>
    <row r="80" spans="53:62" x14ac:dyDescent="0.25">
      <c r="BA80">
        <f t="shared" si="13"/>
        <v>0.13000000000000009</v>
      </c>
      <c r="BB80" s="48">
        <f t="shared" ref="BB80:BB115" si="61">BA80*$D$6</f>
        <v>6.5345127194667745</v>
      </c>
      <c r="BC80" s="69">
        <f t="shared" ca="1" si="53"/>
        <v>-17.331613089721888</v>
      </c>
      <c r="BD80" s="69">
        <f t="shared" ca="1" si="54"/>
        <v>84.909543203066434</v>
      </c>
      <c r="BE80" s="70">
        <f t="shared" ca="1" si="55"/>
        <v>-81.671657861055223</v>
      </c>
      <c r="BF80" s="70">
        <f t="shared" ca="1" si="56"/>
        <v>-11.197234044462011</v>
      </c>
      <c r="BG80" s="70">
        <f t="shared" ca="1" si="57"/>
        <v>38.060731516156459</v>
      </c>
      <c r="BH80" s="70">
        <f t="shared" ca="1" si="58"/>
        <v>0</v>
      </c>
      <c r="BI80" s="70">
        <f t="shared" ca="1" si="59"/>
        <v>0</v>
      </c>
      <c r="BJ80" s="70">
        <f t="shared" ca="1" si="60"/>
        <v>0</v>
      </c>
    </row>
    <row r="81" spans="53:62" x14ac:dyDescent="0.25">
      <c r="BA81">
        <f t="shared" ref="BA81:BA115" si="62">BA80+0.002</f>
        <v>0.13200000000000009</v>
      </c>
      <c r="BB81" s="48">
        <f t="shared" si="61"/>
        <v>6.6350436843816478</v>
      </c>
      <c r="BC81" s="69">
        <f t="shared" ca="1" si="53"/>
        <v>-4.5275215805301334</v>
      </c>
      <c r="BD81" s="69">
        <f t="shared" ca="1" si="54"/>
        <v>83.276719637640468</v>
      </c>
      <c r="BE81" s="70">
        <f t="shared" ca="1" si="55"/>
        <v>-94.623831538048023</v>
      </c>
      <c r="BF81" s="70">
        <f t="shared" ca="1" si="56"/>
        <v>-12.608897703767827</v>
      </c>
      <c r="BG81" s="70">
        <f t="shared" ca="1" si="57"/>
        <v>42.082948973456119</v>
      </c>
      <c r="BH81" s="70">
        <f t="shared" ca="1" si="58"/>
        <v>0</v>
      </c>
      <c r="BI81" s="70">
        <f t="shared" ca="1" si="59"/>
        <v>0</v>
      </c>
      <c r="BJ81" s="70">
        <f t="shared" ca="1" si="60"/>
        <v>0</v>
      </c>
    </row>
    <row r="82" spans="53:62" x14ac:dyDescent="0.25">
      <c r="BA82">
        <f t="shared" si="62"/>
        <v>0.13400000000000009</v>
      </c>
      <c r="BB82" s="48">
        <f t="shared" si="61"/>
        <v>6.7355746492965212</v>
      </c>
      <c r="BC82" s="69">
        <f t="shared" ca="1" si="53"/>
        <v>4.3536751847276411</v>
      </c>
      <c r="BD82" s="69">
        <f t="shared" ca="1" si="54"/>
        <v>80.503164612122191</v>
      </c>
      <c r="BE82" s="70">
        <f t="shared" ca="1" si="55"/>
        <v>-101.27092233770378</v>
      </c>
      <c r="BF82" s="70">
        <f t="shared" ca="1" si="56"/>
        <v>-13.289417481025488</v>
      </c>
      <c r="BG82" s="70">
        <f t="shared" ca="1" si="57"/>
        <v>44.707348853304879</v>
      </c>
      <c r="BH82" s="70">
        <f t="shared" ca="1" si="58"/>
        <v>0</v>
      </c>
      <c r="BI82" s="70">
        <f t="shared" ca="1" si="59"/>
        <v>0</v>
      </c>
      <c r="BJ82" s="70">
        <f t="shared" ca="1" si="60"/>
        <v>0</v>
      </c>
    </row>
    <row r="83" spans="53:62" x14ac:dyDescent="0.25">
      <c r="BA83">
        <f t="shared" si="62"/>
        <v>0.13600000000000009</v>
      </c>
      <c r="BB83" s="48">
        <f t="shared" si="61"/>
        <v>6.8361056142113945</v>
      </c>
      <c r="BC83" s="69">
        <f t="shared" ca="1" si="53"/>
        <v>21.604114060020336</v>
      </c>
      <c r="BD83" s="69">
        <f t="shared" ca="1" si="54"/>
        <v>73.031020058590315</v>
      </c>
      <c r="BE83" s="70">
        <f t="shared" ca="1" si="55"/>
        <v>-108.81904796038638</v>
      </c>
      <c r="BF83" s="70">
        <f t="shared" ca="1" si="56"/>
        <v>-14.862775348905908</v>
      </c>
      <c r="BG83" s="70">
        <f t="shared" ca="1" si="57"/>
        <v>46.203085967336222</v>
      </c>
      <c r="BH83" s="70">
        <f t="shared" ca="1" si="58"/>
        <v>0</v>
      </c>
      <c r="BI83" s="70">
        <f t="shared" ca="1" si="59"/>
        <v>0</v>
      </c>
      <c r="BJ83" s="70">
        <f t="shared" ca="1" si="60"/>
        <v>0</v>
      </c>
    </row>
    <row r="84" spans="53:62" x14ac:dyDescent="0.25">
      <c r="BA84">
        <f t="shared" si="62"/>
        <v>0.13800000000000009</v>
      </c>
      <c r="BB84" s="48">
        <f t="shared" si="61"/>
        <v>6.9366365791262679</v>
      </c>
      <c r="BC84" s="69">
        <f t="shared" ca="1" si="53"/>
        <v>32.93381081355281</v>
      </c>
      <c r="BD84" s="69">
        <f t="shared" ca="1" si="54"/>
        <v>66.312238037105303</v>
      </c>
      <c r="BE84" s="70">
        <f t="shared" ca="1" si="55"/>
        <v>-114.89928742957599</v>
      </c>
      <c r="BF84" s="70">
        <f t="shared" ca="1" si="56"/>
        <v>-15.710929457641162</v>
      </c>
      <c r="BG84" s="70">
        <f t="shared" ca="1" si="57"/>
        <v>45.445837580569901</v>
      </c>
      <c r="BH84" s="70">
        <f t="shared" ca="1" si="58"/>
        <v>0</v>
      </c>
      <c r="BI84" s="70">
        <f t="shared" ca="1" si="59"/>
        <v>0</v>
      </c>
      <c r="BJ84" s="70">
        <f t="shared" ca="1" si="60"/>
        <v>0</v>
      </c>
    </row>
    <row r="85" spans="53:62" x14ac:dyDescent="0.25">
      <c r="BA85">
        <f t="shared" si="62"/>
        <v>0.1400000000000001</v>
      </c>
      <c r="BB85" s="48">
        <f t="shared" si="61"/>
        <v>7.0371675440411412</v>
      </c>
      <c r="BC85" s="69">
        <f t="shared" ca="1" si="53"/>
        <v>38.225051891231807</v>
      </c>
      <c r="BD85" s="69">
        <f t="shared" ca="1" si="54"/>
        <v>56.138719656020271</v>
      </c>
      <c r="BE85" s="70">
        <f t="shared" ca="1" si="55"/>
        <v>-116.69204451164315</v>
      </c>
      <c r="BF85" s="70">
        <f t="shared" ca="1" si="56"/>
        <v>-16.685462275223021</v>
      </c>
      <c r="BG85" s="70">
        <f t="shared" ca="1" si="57"/>
        <v>45.887619608698529</v>
      </c>
      <c r="BH85" s="70">
        <f t="shared" ca="1" si="58"/>
        <v>0</v>
      </c>
      <c r="BI85" s="70">
        <f t="shared" ca="1" si="59"/>
        <v>0</v>
      </c>
      <c r="BJ85" s="70">
        <f t="shared" ca="1" si="60"/>
        <v>0</v>
      </c>
    </row>
    <row r="86" spans="53:62" x14ac:dyDescent="0.25">
      <c r="BA86">
        <f t="shared" si="62"/>
        <v>0.1420000000000001</v>
      </c>
      <c r="BB86" s="48">
        <f t="shared" si="61"/>
        <v>7.1376985089560145</v>
      </c>
      <c r="BC86" s="69">
        <f t="shared" ca="1" si="53"/>
        <v>49.714610729895377</v>
      </c>
      <c r="BD86" s="69">
        <f t="shared" ca="1" si="54"/>
        <v>51.041761841679531</v>
      </c>
      <c r="BE86" s="70">
        <f t="shared" ca="1" si="55"/>
        <v>-120.87603079512202</v>
      </c>
      <c r="BF86" s="70">
        <f t="shared" ca="1" si="56"/>
        <v>-17.346099788626386</v>
      </c>
      <c r="BG86" s="70">
        <f t="shared" ca="1" si="57"/>
        <v>47.640379719727115</v>
      </c>
      <c r="BH86" s="70">
        <f t="shared" ca="1" si="58"/>
        <v>0</v>
      </c>
      <c r="BI86" s="70">
        <f t="shared" ca="1" si="59"/>
        <v>0</v>
      </c>
      <c r="BJ86" s="70">
        <f t="shared" ca="1" si="60"/>
        <v>0</v>
      </c>
    </row>
    <row r="87" spans="53:62" x14ac:dyDescent="0.25">
      <c r="BA87">
        <f t="shared" si="62"/>
        <v>0.1440000000000001</v>
      </c>
      <c r="BB87" s="48">
        <f t="shared" si="61"/>
        <v>7.2382294738708888</v>
      </c>
      <c r="BC87" s="69">
        <f t="shared" ca="1" si="53"/>
        <v>66.540227448505988</v>
      </c>
      <c r="BD87" s="69">
        <f t="shared" ca="1" si="54"/>
        <v>41.186874659906437</v>
      </c>
      <c r="BE87" s="70">
        <f t="shared" ca="1" si="55"/>
        <v>-123.77321186583031</v>
      </c>
      <c r="BF87" s="70">
        <f t="shared" ca="1" si="56"/>
        <v>-17.615171859906468</v>
      </c>
      <c r="BG87" s="70">
        <f t="shared" ca="1" si="57"/>
        <v>47.629571841231233</v>
      </c>
      <c r="BH87" s="70">
        <f t="shared" ca="1" si="58"/>
        <v>0</v>
      </c>
      <c r="BI87" s="70">
        <f t="shared" ca="1" si="59"/>
        <v>0</v>
      </c>
      <c r="BJ87" s="70">
        <f t="shared" ca="1" si="60"/>
        <v>0</v>
      </c>
    </row>
    <row r="88" spans="53:62" x14ac:dyDescent="0.25">
      <c r="BA88">
        <f t="shared" si="62"/>
        <v>0.1460000000000001</v>
      </c>
      <c r="BB88" s="48">
        <f t="shared" si="61"/>
        <v>7.3387604387857621</v>
      </c>
      <c r="BC88" s="69">
        <f t="shared" ca="1" si="53"/>
        <v>71.62489716285603</v>
      </c>
      <c r="BD88" s="69">
        <f t="shared" ca="1" si="54"/>
        <v>30.231011577679428</v>
      </c>
      <c r="BE88" s="70">
        <f t="shared" ca="1" si="55"/>
        <v>-127.24277941056289</v>
      </c>
      <c r="BF88" s="70">
        <f t="shared" ca="1" si="56"/>
        <v>-18.150317723123322</v>
      </c>
      <c r="BG88" s="70">
        <f t="shared" ca="1" si="57"/>
        <v>48.47687972487212</v>
      </c>
      <c r="BH88" s="70">
        <f t="shared" ca="1" si="58"/>
        <v>0</v>
      </c>
      <c r="BI88" s="70">
        <f t="shared" ca="1" si="59"/>
        <v>0</v>
      </c>
      <c r="BJ88" s="70">
        <f t="shared" ca="1" si="60"/>
        <v>0</v>
      </c>
    </row>
    <row r="89" spans="53:62" x14ac:dyDescent="0.25">
      <c r="BA89">
        <f t="shared" si="62"/>
        <v>0.1480000000000001</v>
      </c>
      <c r="BB89" s="48">
        <f t="shared" si="61"/>
        <v>7.4392914037006355</v>
      </c>
      <c r="BC89" s="69">
        <f t="shared" ca="1" si="53"/>
        <v>83.602777107550622</v>
      </c>
      <c r="BD89" s="69">
        <f t="shared" ca="1" si="54"/>
        <v>21.685614507689468</v>
      </c>
      <c r="BE89" s="70">
        <f t="shared" ca="1" si="55"/>
        <v>-123.32932576826616</v>
      </c>
      <c r="BF89" s="70">
        <f t="shared" ca="1" si="56"/>
        <v>-18.236098516814433</v>
      </c>
      <c r="BG89" s="70">
        <f t="shared" ca="1" si="57"/>
        <v>48.057454887025571</v>
      </c>
      <c r="BH89" s="70">
        <f t="shared" ca="1" si="58"/>
        <v>0</v>
      </c>
      <c r="BI89" s="70">
        <f t="shared" ca="1" si="59"/>
        <v>0</v>
      </c>
      <c r="BJ89" s="70">
        <f t="shared" ca="1" si="60"/>
        <v>0</v>
      </c>
    </row>
    <row r="90" spans="53:62" x14ac:dyDescent="0.25">
      <c r="BA90">
        <f t="shared" si="62"/>
        <v>0.15000000000000011</v>
      </c>
      <c r="BB90" s="48">
        <f t="shared" si="61"/>
        <v>7.5398223686155088</v>
      </c>
      <c r="BC90" s="69">
        <f t="shared" ca="1" si="53"/>
        <v>88.795972968905261</v>
      </c>
      <c r="BD90" s="69">
        <f t="shared" ca="1" si="54"/>
        <v>10.655802028615284</v>
      </c>
      <c r="BE90" s="70">
        <f t="shared" ca="1" si="55"/>
        <v>-127.81156979553626</v>
      </c>
      <c r="BF90" s="70">
        <f t="shared" ca="1" si="56"/>
        <v>-17.301844420943493</v>
      </c>
      <c r="BG90" s="70">
        <f t="shared" ca="1" si="57"/>
        <v>45.739122045472818</v>
      </c>
      <c r="BH90" s="70">
        <f t="shared" ca="1" si="58"/>
        <v>0</v>
      </c>
      <c r="BI90" s="70">
        <f t="shared" ca="1" si="59"/>
        <v>0</v>
      </c>
      <c r="BJ90" s="70">
        <f t="shared" ca="1" si="60"/>
        <v>0</v>
      </c>
    </row>
    <row r="91" spans="53:62" x14ac:dyDescent="0.25">
      <c r="BA91">
        <f t="shared" si="62"/>
        <v>0.15200000000000011</v>
      </c>
      <c r="BB91" s="48">
        <f t="shared" si="61"/>
        <v>7.6403533335303822</v>
      </c>
      <c r="BC91" s="69">
        <f t="shared" ca="1" si="53"/>
        <v>95.612230033513612</v>
      </c>
      <c r="BD91" s="69">
        <f t="shared" ca="1" si="54"/>
        <v>0.33232699722081604</v>
      </c>
      <c r="BE91" s="70">
        <f t="shared" ca="1" si="55"/>
        <v>-123.78497366654801</v>
      </c>
      <c r="BF91" s="70">
        <f t="shared" ca="1" si="56"/>
        <v>-15.281482319732136</v>
      </c>
      <c r="BG91" s="70">
        <f t="shared" ca="1" si="57"/>
        <v>44.973454304754284</v>
      </c>
      <c r="BH91" s="70">
        <f t="shared" ca="1" si="58"/>
        <v>0</v>
      </c>
      <c r="BI91" s="70">
        <f t="shared" ca="1" si="59"/>
        <v>0</v>
      </c>
      <c r="BJ91" s="70">
        <f t="shared" ca="1" si="60"/>
        <v>0</v>
      </c>
    </row>
    <row r="92" spans="53:62" x14ac:dyDescent="0.25">
      <c r="BA92">
        <f t="shared" si="62"/>
        <v>0.15400000000000011</v>
      </c>
      <c r="BB92" s="48">
        <f t="shared" si="61"/>
        <v>7.7408842984452555</v>
      </c>
      <c r="BC92" s="69">
        <f t="shared" ca="1" si="53"/>
        <v>108.96774042986539</v>
      </c>
      <c r="BD92" s="69">
        <f t="shared" ca="1" si="54"/>
        <v>-9.5648261717455085</v>
      </c>
      <c r="BE92" s="70">
        <f t="shared" ca="1" si="55"/>
        <v>-115.5834839415775</v>
      </c>
      <c r="BF92" s="70">
        <f t="shared" ca="1" si="56"/>
        <v>-14.512560136217619</v>
      </c>
      <c r="BG92" s="70">
        <f t="shared" ca="1" si="57"/>
        <v>44.257352870128898</v>
      </c>
      <c r="BH92" s="70">
        <f t="shared" ca="1" si="58"/>
        <v>0</v>
      </c>
      <c r="BI92" s="70">
        <f t="shared" ca="1" si="59"/>
        <v>0</v>
      </c>
      <c r="BJ92" s="70">
        <f t="shared" ca="1" si="60"/>
        <v>0</v>
      </c>
    </row>
    <row r="93" spans="53:62" x14ac:dyDescent="0.25">
      <c r="BA93">
        <f t="shared" si="62"/>
        <v>0.15600000000000011</v>
      </c>
      <c r="BB93" s="48">
        <f t="shared" si="61"/>
        <v>7.8414152633601288</v>
      </c>
      <c r="BC93" s="69">
        <f t="shared" ca="1" si="53"/>
        <v>111.33380861329054</v>
      </c>
      <c r="BD93" s="69">
        <f t="shared" ca="1" si="54"/>
        <v>-18.698371042815616</v>
      </c>
      <c r="BE93" s="70">
        <f t="shared" ca="1" si="55"/>
        <v>-113.20306823861924</v>
      </c>
      <c r="BF93" s="70">
        <f t="shared" ca="1" si="56"/>
        <v>-13.005510428628629</v>
      </c>
      <c r="BG93" s="70">
        <f t="shared" ca="1" si="57"/>
        <v>41.759901764300281</v>
      </c>
      <c r="BH93" s="70">
        <f t="shared" ca="1" si="58"/>
        <v>0</v>
      </c>
      <c r="BI93" s="70">
        <f t="shared" ca="1" si="59"/>
        <v>0</v>
      </c>
      <c r="BJ93" s="70">
        <f t="shared" ca="1" si="60"/>
        <v>0</v>
      </c>
    </row>
    <row r="94" spans="53:62" x14ac:dyDescent="0.25">
      <c r="BA94">
        <f t="shared" si="62"/>
        <v>0.15800000000000011</v>
      </c>
      <c r="BB94" s="48">
        <f t="shared" si="61"/>
        <v>7.9419462282750031</v>
      </c>
      <c r="BC94" s="69">
        <f t="shared" ca="1" si="53"/>
        <v>119.12682894999702</v>
      </c>
      <c r="BD94" s="69">
        <f t="shared" ca="1" si="54"/>
        <v>-29.237149023378059</v>
      </c>
      <c r="BE94" s="70">
        <f t="shared" ca="1" si="55"/>
        <v>-105.22265660673979</v>
      </c>
      <c r="BF94" s="70">
        <f t="shared" ca="1" si="56"/>
        <v>-11.840095380441914</v>
      </c>
      <c r="BG94" s="70">
        <f t="shared" ca="1" si="57"/>
        <v>39.507448199130948</v>
      </c>
      <c r="BH94" s="70">
        <f t="shared" ca="1" si="58"/>
        <v>0</v>
      </c>
      <c r="BI94" s="70">
        <f t="shared" ca="1" si="59"/>
        <v>0</v>
      </c>
      <c r="BJ94" s="70">
        <f t="shared" ca="1" si="60"/>
        <v>0</v>
      </c>
    </row>
    <row r="95" spans="53:62" x14ac:dyDescent="0.25">
      <c r="BA95">
        <f t="shared" si="62"/>
        <v>0.16000000000000011</v>
      </c>
      <c r="BB95" s="48">
        <f t="shared" si="61"/>
        <v>8.0424771931898764</v>
      </c>
      <c r="BC95" s="69">
        <f t="shared" ca="1" si="53"/>
        <v>119.52159287759098</v>
      </c>
      <c r="BD95" s="69">
        <f t="shared" ca="1" si="54"/>
        <v>-40.119506119498396</v>
      </c>
      <c r="BE95" s="70">
        <f t="shared" ca="1" si="55"/>
        <v>-94.097396401384685</v>
      </c>
      <c r="BF95" s="70">
        <f t="shared" ca="1" si="56"/>
        <v>-10.846534692830222</v>
      </c>
      <c r="BG95" s="70">
        <f t="shared" ca="1" si="57"/>
        <v>38.212275776444876</v>
      </c>
      <c r="BH95" s="70">
        <f t="shared" ca="1" si="58"/>
        <v>0</v>
      </c>
      <c r="BI95" s="70">
        <f t="shared" ca="1" si="59"/>
        <v>0</v>
      </c>
      <c r="BJ95" s="70">
        <f t="shared" ca="1" si="60"/>
        <v>0</v>
      </c>
    </row>
    <row r="96" spans="53:62" x14ac:dyDescent="0.25">
      <c r="BA96">
        <f t="shared" si="62"/>
        <v>0.16200000000000012</v>
      </c>
      <c r="BB96" s="48">
        <f t="shared" si="61"/>
        <v>8.1430081581047489</v>
      </c>
      <c r="BC96" s="69">
        <f t="shared" ca="1" si="53"/>
        <v>117.685057903607</v>
      </c>
      <c r="BD96" s="69">
        <f t="shared" ca="1" si="54"/>
        <v>-44.817270495826477</v>
      </c>
      <c r="BE96" s="70">
        <f t="shared" ca="1" si="55"/>
        <v>-88.732521706060965</v>
      </c>
      <c r="BF96" s="70">
        <f t="shared" ca="1" si="56"/>
        <v>-9.3063430294843172</v>
      </c>
      <c r="BG96" s="70">
        <f t="shared" ca="1" si="57"/>
        <v>34.650837828404121</v>
      </c>
      <c r="BH96" s="70">
        <f t="shared" ca="1" si="58"/>
        <v>0</v>
      </c>
      <c r="BI96" s="70">
        <f t="shared" ca="1" si="59"/>
        <v>0</v>
      </c>
      <c r="BJ96" s="70">
        <f t="shared" ca="1" si="60"/>
        <v>0</v>
      </c>
    </row>
    <row r="97" spans="53:62" x14ac:dyDescent="0.25">
      <c r="BA97">
        <f t="shared" si="62"/>
        <v>0.16400000000000012</v>
      </c>
      <c r="BB97" s="48">
        <f t="shared" si="61"/>
        <v>8.2435391230196231</v>
      </c>
      <c r="BC97" s="69">
        <f t="shared" ca="1" si="53"/>
        <v>120.08773753016871</v>
      </c>
      <c r="BD97" s="69">
        <f t="shared" ca="1" si="54"/>
        <v>-52.217499319540998</v>
      </c>
      <c r="BE97" s="70">
        <f t="shared" ca="1" si="55"/>
        <v>-72.477729870507602</v>
      </c>
      <c r="BF97" s="70">
        <f t="shared" ca="1" si="56"/>
        <v>-6.8071009053834821</v>
      </c>
      <c r="BG97" s="70">
        <f t="shared" ca="1" si="57"/>
        <v>31.420016236658419</v>
      </c>
      <c r="BH97" s="70">
        <f t="shared" ca="1" si="58"/>
        <v>0</v>
      </c>
      <c r="BI97" s="70">
        <f t="shared" ca="1" si="59"/>
        <v>0</v>
      </c>
      <c r="BJ97" s="70">
        <f t="shared" ca="1" si="60"/>
        <v>0</v>
      </c>
    </row>
    <row r="98" spans="53:62" x14ac:dyDescent="0.25">
      <c r="BA98">
        <f t="shared" si="62"/>
        <v>0.16600000000000012</v>
      </c>
      <c r="BB98" s="48">
        <f t="shared" si="61"/>
        <v>8.3440700879344973</v>
      </c>
      <c r="BC98" s="69">
        <f t="shared" ca="1" si="53"/>
        <v>124.89365941053251</v>
      </c>
      <c r="BD98" s="69">
        <f t="shared" ca="1" si="54"/>
        <v>-57.523572828999512</v>
      </c>
      <c r="BE98" s="70">
        <f t="shared" ca="1" si="55"/>
        <v>-65.712505027836855</v>
      </c>
      <c r="BF98" s="70">
        <f t="shared" ca="1" si="56"/>
        <v>-5.8215136911986614</v>
      </c>
      <c r="BG98" s="70">
        <f t="shared" ca="1" si="57"/>
        <v>26.711286659167992</v>
      </c>
      <c r="BH98" s="70">
        <f t="shared" ca="1" si="58"/>
        <v>0</v>
      </c>
      <c r="BI98" s="70">
        <f t="shared" ca="1" si="59"/>
        <v>0</v>
      </c>
      <c r="BJ98" s="70">
        <f t="shared" ca="1" si="60"/>
        <v>0</v>
      </c>
    </row>
    <row r="99" spans="53:62" x14ac:dyDescent="0.25">
      <c r="BA99">
        <f t="shared" si="62"/>
        <v>0.16800000000000012</v>
      </c>
      <c r="BB99" s="48">
        <f t="shared" si="61"/>
        <v>8.4446010528493698</v>
      </c>
      <c r="BC99" s="69">
        <f t="shared" ca="1" si="53"/>
        <v>120.99201141890427</v>
      </c>
      <c r="BD99" s="69">
        <f t="shared" ca="1" si="54"/>
        <v>-64.518860902271882</v>
      </c>
      <c r="BE99" s="70">
        <f t="shared" ca="1" si="55"/>
        <v>-50.297014743175616</v>
      </c>
      <c r="BF99" s="70">
        <f t="shared" ca="1" si="56"/>
        <v>-3.7994921870749927</v>
      </c>
      <c r="BG99" s="70">
        <f t="shared" ca="1" si="57"/>
        <v>22.624796061287295</v>
      </c>
      <c r="BH99" s="70">
        <f t="shared" ca="1" si="58"/>
        <v>0</v>
      </c>
      <c r="BI99" s="70">
        <f t="shared" ca="1" si="59"/>
        <v>0</v>
      </c>
      <c r="BJ99" s="70">
        <f t="shared" ca="1" si="60"/>
        <v>0</v>
      </c>
    </row>
    <row r="100" spans="53:62" x14ac:dyDescent="0.25">
      <c r="BA100">
        <f t="shared" si="62"/>
        <v>0.17000000000000012</v>
      </c>
      <c r="BB100" s="48">
        <f t="shared" si="61"/>
        <v>8.545132017764244</v>
      </c>
      <c r="BC100" s="69">
        <f t="shared" ca="1" si="53"/>
        <v>114.68060364765377</v>
      </c>
      <c r="BD100" s="69">
        <f t="shared" ca="1" si="54"/>
        <v>-71.70871294334431</v>
      </c>
      <c r="BE100" s="70">
        <f t="shared" ca="1" si="55"/>
        <v>-43.529537070073047</v>
      </c>
      <c r="BF100" s="70">
        <f t="shared" ca="1" si="56"/>
        <v>-2.8234050201031273</v>
      </c>
      <c r="BG100" s="70">
        <f t="shared" ca="1" si="57"/>
        <v>17.197880472026455</v>
      </c>
      <c r="BH100" s="70">
        <f t="shared" ca="1" si="58"/>
        <v>0</v>
      </c>
      <c r="BI100" s="70">
        <f t="shared" ca="1" si="59"/>
        <v>0</v>
      </c>
      <c r="BJ100" s="70">
        <f t="shared" ca="1" si="60"/>
        <v>0</v>
      </c>
    </row>
    <row r="101" spans="53:62" x14ac:dyDescent="0.25">
      <c r="BA101">
        <f t="shared" si="62"/>
        <v>0.17200000000000013</v>
      </c>
      <c r="BB101" s="48">
        <f t="shared" si="61"/>
        <v>8.6456629826791165</v>
      </c>
      <c r="BC101" s="69">
        <f t="shared" ca="1" si="53"/>
        <v>113.58654182750743</v>
      </c>
      <c r="BD101" s="69">
        <f t="shared" ca="1" si="54"/>
        <v>-76.108366931881221</v>
      </c>
      <c r="BE101" s="70">
        <f t="shared" ca="1" si="55"/>
        <v>-30.912335982448322</v>
      </c>
      <c r="BF101" s="70">
        <f t="shared" ca="1" si="56"/>
        <v>-1.9398335322224063</v>
      </c>
      <c r="BG101" s="70">
        <f t="shared" ca="1" si="57"/>
        <v>10.961624806337394</v>
      </c>
      <c r="BH101" s="70">
        <f t="shared" ca="1" si="58"/>
        <v>0</v>
      </c>
      <c r="BI101" s="70">
        <f t="shared" ca="1" si="59"/>
        <v>0</v>
      </c>
      <c r="BJ101" s="70">
        <f t="shared" ca="1" si="60"/>
        <v>0</v>
      </c>
    </row>
    <row r="102" spans="53:62" x14ac:dyDescent="0.25">
      <c r="BA102">
        <f t="shared" si="62"/>
        <v>0.17400000000000013</v>
      </c>
      <c r="BB102" s="48">
        <f t="shared" si="61"/>
        <v>8.7461939475939907</v>
      </c>
      <c r="BC102" s="69">
        <f t="shared" ca="1" si="53"/>
        <v>105.92943435222617</v>
      </c>
      <c r="BD102" s="69">
        <f t="shared" ca="1" si="54"/>
        <v>-80.486875511612411</v>
      </c>
      <c r="BE102" s="70">
        <f t="shared" ca="1" si="55"/>
        <v>-14.446680885463008</v>
      </c>
      <c r="BF102" s="70">
        <f t="shared" ca="1" si="56"/>
        <v>-0.31465893741020878</v>
      </c>
      <c r="BG102" s="70">
        <f t="shared" ca="1" si="57"/>
        <v>7.3644683868196053</v>
      </c>
      <c r="BH102" s="70">
        <f t="shared" ca="1" si="58"/>
        <v>0</v>
      </c>
      <c r="BI102" s="70">
        <f t="shared" ca="1" si="59"/>
        <v>0</v>
      </c>
      <c r="BJ102" s="70">
        <f t="shared" ca="1" si="60"/>
        <v>0</v>
      </c>
    </row>
    <row r="103" spans="53:62" x14ac:dyDescent="0.25">
      <c r="BA103">
        <f t="shared" si="62"/>
        <v>0.17600000000000013</v>
      </c>
      <c r="BB103" s="48">
        <f t="shared" si="61"/>
        <v>8.8467249125088632</v>
      </c>
      <c r="BC103" s="69">
        <f t="shared" ca="1" si="53"/>
        <v>105.10678328854934</v>
      </c>
      <c r="BD103" s="69">
        <f t="shared" ca="1" si="54"/>
        <v>-82.286432111881695</v>
      </c>
      <c r="BE103" s="70">
        <f t="shared" ca="1" si="55"/>
        <v>-5.7906728425919622</v>
      </c>
      <c r="BF103" s="70">
        <f t="shared" ca="1" si="56"/>
        <v>0.90081702271755781</v>
      </c>
      <c r="BG103" s="70">
        <f t="shared" ca="1" si="57"/>
        <v>0.3163264551325814</v>
      </c>
      <c r="BH103" s="70">
        <f t="shared" ca="1" si="58"/>
        <v>0</v>
      </c>
      <c r="BI103" s="70">
        <f t="shared" ca="1" si="59"/>
        <v>0</v>
      </c>
      <c r="BJ103" s="70">
        <f t="shared" ca="1" si="60"/>
        <v>0</v>
      </c>
    </row>
    <row r="104" spans="53:62" x14ac:dyDescent="0.25">
      <c r="BA104">
        <f t="shared" si="62"/>
        <v>0.17800000000000013</v>
      </c>
      <c r="BB104" s="48">
        <f t="shared" si="61"/>
        <v>8.9472558774237374</v>
      </c>
      <c r="BC104" s="69">
        <f t="shared" ca="1" si="53"/>
        <v>95.743488624885757</v>
      </c>
      <c r="BD104" s="69">
        <f t="shared" ca="1" si="54"/>
        <v>-81.462502894422514</v>
      </c>
      <c r="BE104" s="70">
        <f t="shared" ca="1" si="55"/>
        <v>8.4806771372651166</v>
      </c>
      <c r="BF104" s="70">
        <f t="shared" ca="1" si="56"/>
        <v>1.5854267845803864</v>
      </c>
      <c r="BG104" s="70">
        <f t="shared" ca="1" si="57"/>
        <v>-4.3269598720261477</v>
      </c>
      <c r="BH104" s="70">
        <f t="shared" ca="1" si="58"/>
        <v>0</v>
      </c>
      <c r="BI104" s="70">
        <f t="shared" ca="1" si="59"/>
        <v>0</v>
      </c>
      <c r="BJ104" s="70">
        <f t="shared" ca="1" si="60"/>
        <v>0</v>
      </c>
    </row>
    <row r="105" spans="53:62" x14ac:dyDescent="0.25">
      <c r="BA105">
        <f t="shared" si="62"/>
        <v>0.18000000000000013</v>
      </c>
      <c r="BB105" s="48">
        <f t="shared" si="61"/>
        <v>9.0477868423386116</v>
      </c>
      <c r="BC105" s="69">
        <f t="shared" ca="1" si="53"/>
        <v>89.991167476062387</v>
      </c>
      <c r="BD105" s="69">
        <f t="shared" ca="1" si="54"/>
        <v>-86.61365162235532</v>
      </c>
      <c r="BE105" s="70">
        <f t="shared" ca="1" si="55"/>
        <v>24.127927133912706</v>
      </c>
      <c r="BF105" s="70">
        <f t="shared" ca="1" si="56"/>
        <v>3.1520626017052531</v>
      </c>
      <c r="BG105" s="70">
        <f t="shared" ca="1" si="57"/>
        <v>-9.387681439295358</v>
      </c>
      <c r="BH105" s="70">
        <f t="shared" ca="1" si="58"/>
        <v>0</v>
      </c>
      <c r="BI105" s="70">
        <f t="shared" ca="1" si="59"/>
        <v>0</v>
      </c>
      <c r="BJ105" s="70">
        <f t="shared" ca="1" si="60"/>
        <v>0</v>
      </c>
    </row>
    <row r="106" spans="53:62" x14ac:dyDescent="0.25">
      <c r="BA106">
        <f t="shared" si="62"/>
        <v>0.18200000000000013</v>
      </c>
      <c r="BB106" s="48">
        <f t="shared" si="61"/>
        <v>9.1483178072534841</v>
      </c>
      <c r="BC106" s="69">
        <f t="shared" ca="1" si="53"/>
        <v>75.950948162842877</v>
      </c>
      <c r="BD106" s="69">
        <f t="shared" ca="1" si="54"/>
        <v>-85.889897615907202</v>
      </c>
      <c r="BE106" s="70">
        <f t="shared" ca="1" si="55"/>
        <v>36.820342318946317</v>
      </c>
      <c r="BF106" s="70">
        <f t="shared" ca="1" si="56"/>
        <v>3.6513237404043677</v>
      </c>
      <c r="BG106" s="70">
        <f t="shared" ca="1" si="57"/>
        <v>-14.857622137503286</v>
      </c>
      <c r="BH106" s="70">
        <f t="shared" ca="1" si="58"/>
        <v>0</v>
      </c>
      <c r="BI106" s="70">
        <f t="shared" ca="1" si="59"/>
        <v>0</v>
      </c>
      <c r="BJ106" s="70">
        <f t="shared" ca="1" si="60"/>
        <v>0</v>
      </c>
    </row>
    <row r="107" spans="53:62" x14ac:dyDescent="0.25">
      <c r="BA107">
        <f t="shared" si="62"/>
        <v>0.18400000000000014</v>
      </c>
      <c r="BB107" s="48">
        <f t="shared" si="61"/>
        <v>9.2488487721683583</v>
      </c>
      <c r="BC107" s="69">
        <f t="shared" ca="1" si="53"/>
        <v>72.245887296444295</v>
      </c>
      <c r="BD107" s="69">
        <f t="shared" ca="1" si="54"/>
        <v>-85.764073024649335</v>
      </c>
      <c r="BE107" s="70">
        <f t="shared" ca="1" si="55"/>
        <v>42.090627953211843</v>
      </c>
      <c r="BF107" s="70">
        <f t="shared" ca="1" si="56"/>
        <v>5.0881605731345791</v>
      </c>
      <c r="BG107" s="70">
        <f t="shared" ca="1" si="57"/>
        <v>-20.301154755055446</v>
      </c>
      <c r="BH107" s="70">
        <f t="shared" ca="1" si="58"/>
        <v>0</v>
      </c>
      <c r="BI107" s="70">
        <f t="shared" ca="1" si="59"/>
        <v>0</v>
      </c>
      <c r="BJ107" s="70">
        <f t="shared" ca="1" si="60"/>
        <v>0</v>
      </c>
    </row>
    <row r="108" spans="53:62" x14ac:dyDescent="0.25">
      <c r="BA108">
        <f t="shared" si="62"/>
        <v>0.18600000000000014</v>
      </c>
      <c r="BB108" s="48">
        <f t="shared" si="61"/>
        <v>9.3493797370832308</v>
      </c>
      <c r="BC108" s="69">
        <f t="shared" ca="1" si="53"/>
        <v>58.519501061968192</v>
      </c>
      <c r="BD108" s="69">
        <f t="shared" ca="1" si="54"/>
        <v>-85.366575044184543</v>
      </c>
      <c r="BE108" s="70">
        <f t="shared" ca="1" si="55"/>
        <v>56.670585471105248</v>
      </c>
      <c r="BF108" s="70">
        <f t="shared" ca="1" si="56"/>
        <v>7.5224645264788226</v>
      </c>
      <c r="BG108" s="70">
        <f t="shared" ca="1" si="57"/>
        <v>-25.675006644549697</v>
      </c>
      <c r="BH108" s="70">
        <f t="shared" ca="1" si="58"/>
        <v>0</v>
      </c>
      <c r="BI108" s="70">
        <f t="shared" ca="1" si="59"/>
        <v>0</v>
      </c>
      <c r="BJ108" s="70">
        <f t="shared" ca="1" si="60"/>
        <v>0</v>
      </c>
    </row>
    <row r="109" spans="53:62" x14ac:dyDescent="0.25">
      <c r="BA109">
        <f t="shared" si="62"/>
        <v>0.18800000000000014</v>
      </c>
      <c r="BB109" s="48">
        <f t="shared" si="61"/>
        <v>9.449910701998105</v>
      </c>
      <c r="BC109" s="69">
        <f t="shared" ca="1" si="53"/>
        <v>50.795752317644443</v>
      </c>
      <c r="BD109" s="69">
        <f t="shared" ca="1" si="54"/>
        <v>-86.396473517860045</v>
      </c>
      <c r="BE109" s="70">
        <f t="shared" ca="1" si="55"/>
        <v>68.356355579011932</v>
      </c>
      <c r="BF109" s="70">
        <f t="shared" ca="1" si="56"/>
        <v>9.1258155872294271</v>
      </c>
      <c r="BG109" s="70">
        <f t="shared" ca="1" si="57"/>
        <v>-28.664124701771005</v>
      </c>
      <c r="BH109" s="70">
        <f t="shared" ca="1" si="58"/>
        <v>0</v>
      </c>
      <c r="BI109" s="70">
        <f t="shared" ca="1" si="59"/>
        <v>0</v>
      </c>
      <c r="BJ109" s="70">
        <f t="shared" ca="1" si="60"/>
        <v>0</v>
      </c>
    </row>
    <row r="110" spans="53:62" x14ac:dyDescent="0.25">
      <c r="BA110">
        <f t="shared" si="62"/>
        <v>0.19000000000000014</v>
      </c>
      <c r="BB110" s="48">
        <f t="shared" si="61"/>
        <v>9.5504416669129775</v>
      </c>
      <c r="BC110" s="69">
        <f t="shared" ca="1" si="53"/>
        <v>40.918087525757294</v>
      </c>
      <c r="BD110" s="69">
        <f t="shared" ca="1" si="54"/>
        <v>-87.024474006183297</v>
      </c>
      <c r="BE110" s="70">
        <f t="shared" ca="1" si="55"/>
        <v>77.136905061346297</v>
      </c>
      <c r="BF110" s="70">
        <f t="shared" ca="1" si="56"/>
        <v>10.689940286358015</v>
      </c>
      <c r="BG110" s="70">
        <f t="shared" ca="1" si="57"/>
        <v>-31.747396315628155</v>
      </c>
      <c r="BH110" s="70">
        <f t="shared" ca="1" si="58"/>
        <v>0</v>
      </c>
      <c r="BI110" s="70">
        <f t="shared" ca="1" si="59"/>
        <v>0</v>
      </c>
      <c r="BJ110" s="70">
        <f t="shared" ca="1" si="60"/>
        <v>0</v>
      </c>
    </row>
    <row r="111" spans="53:62" x14ac:dyDescent="0.25">
      <c r="BA111">
        <f t="shared" si="62"/>
        <v>0.19200000000000014</v>
      </c>
      <c r="BB111" s="48">
        <f t="shared" si="61"/>
        <v>9.6509726318278517</v>
      </c>
      <c r="BC111" s="69">
        <f t="shared" ref="BC111:BC115" ca="1" si="63">D$25*$Z$5*MAGNET(D$24+BB111)+E$25*$Z$5*MAGNET(E$24+BB111)+F$25*$Z$5*MAGNET(F$24+BB111)+G$25*$Z$5*MAGNET(G$24+BB111)+H$25*$Z$5*MAGNET(H$24+BB111)+I$25*$Z$5*MAGNET(I$24+BB111)+J$25*$Z$5*MAGNET(J$24+BB111)+K$25*$Z$5*MAGNET(K$24+BB111)+L$25*$Z$5*MAGNET(L$24+BB111)+M$25*$Z$5*MAGNET(M$24+BB111)+N$25*$Z$5*MAGNET(N$24+BB111)+O$25*$Z$5*MAGNET(O$24+BB111)+P$25*$Z$5*MAGNET(P$24+BB111)+Q$25*$Z$5*MAGNET(Q$24+BB111)+R$25*$Z$5*MAGNET(R$24+BB111)+S$25*$Z$5*MAGNET(S$24+BB111)+T$25*$Z$5*MAGNET(T$24+BB111)+U$25*$Z$5*MAGNET(U$24+BB111)+V$25*$Z$5*MAGNET(V$24+BB111)+W$25*$Z$5*MAGNET(W$24+BB111)+X$25*$Z$5*MAGNET(X$24+BB111)+Y$25*$Z$5*MAGNET(Y$24+BB111)+Z$25*$Z$5*MAGNET(Z$24+BB111)+AA$25*$Z$5*MAGNET(AA$24+BB111)+AB$25*$Z$5*MAGNET(AB$24+BB111)+AC$25*$Z$5*MAGNET(AC$24+BB111)+AD$25*$Z$5*MAGNET(AD$24+BB111)+AE$25*$Z$5*MAGNET(AE$24+BB111)+AF$25*$Z$5*MAGNET(AF$24+BB111)+AG$25*$Z$5*MAGNET(AG$24+BB111)+AH$25*$Z$5*MAGNET(AH$24+BB111) +AI$25*$Z$5*MAGNET(AI$24+BB111) +AJ$25*$Z$5*MAGNET(AJ$24+BB111) +AK$25*$Z$5*MAGNET(AK$24+BB111) +AL$25*$Z$5*MAGNET(AL$24+BB111) +AM$25*$Z$5*MAGNET(AM$24+BB111) +AN$25*$Z$5*MAGNET(AN$24+BB111) +AO$25*$Z$5*MAGNET(AO$24+BB111)+RAND()*$BC$13+AP$25*$Z$5*MAGNET(AP$24+BB111)
+AQ$25*$Z$5*MAGNET(AQ$24+BB111)
+AR$25*$Z$5*MAGNET(AR$24+BB111)
+AS$25*$Z$5*MAGNET(AS$24+BB111)
+AT$25*$Z$5*MAGNET(AT$24+BB111)
+AU$25*$Z$5*MAGNET(AU$24+BB111)
+AV$25*$Z$5*MAGNET(AV$24+BB111)
+AW$25*$Z$5*MAGNET(AW$24+BB111)
+AX$25*$Z$5*MAGNET(AX$24+BB111)
+AY$25*$Z$5*MAGNET(AY$24+BB111)</f>
        <v>22.936622574999305</v>
      </c>
      <c r="BD111" s="69">
        <f t="shared" ca="1" si="54"/>
        <v>-83.964926664112028</v>
      </c>
      <c r="BE111" s="70">
        <f t="shared" ca="1" si="55"/>
        <v>85.745218403663046</v>
      </c>
      <c r="BF111" s="70">
        <f t="shared" ca="1" si="56"/>
        <v>11.674594721792953</v>
      </c>
      <c r="BG111" s="70">
        <f t="shared" ca="1" si="57"/>
        <v>-36.7315817637351</v>
      </c>
      <c r="BH111" s="70">
        <f t="shared" ca="1" si="58"/>
        <v>0</v>
      </c>
      <c r="BI111" s="70">
        <f t="shared" ca="1" si="59"/>
        <v>0</v>
      </c>
      <c r="BJ111" s="70">
        <f t="shared" ca="1" si="60"/>
        <v>0</v>
      </c>
    </row>
    <row r="112" spans="53:62" x14ac:dyDescent="0.25">
      <c r="BA112">
        <f t="shared" si="62"/>
        <v>0.19400000000000014</v>
      </c>
      <c r="BB112" s="48">
        <f t="shared" si="61"/>
        <v>9.7515035967427259</v>
      </c>
      <c r="BC112" s="69">
        <f t="shared" ca="1" si="63"/>
        <v>12.648909823269559</v>
      </c>
      <c r="BD112" s="69">
        <f t="shared" ca="1" si="54"/>
        <v>-80.276165375738273</v>
      </c>
      <c r="BE112" s="70">
        <f t="shared" ca="1" si="55"/>
        <v>94.368227014522759</v>
      </c>
      <c r="BF112" s="70">
        <f t="shared" ca="1" si="56"/>
        <v>12.847464401366025</v>
      </c>
      <c r="BG112" s="70">
        <f t="shared" ca="1" si="57"/>
        <v>-38.839256736782168</v>
      </c>
      <c r="BH112" s="70">
        <f t="shared" ca="1" si="58"/>
        <v>0</v>
      </c>
      <c r="BI112" s="70">
        <f t="shared" ca="1" si="59"/>
        <v>0</v>
      </c>
      <c r="BJ112" s="70">
        <f t="shared" ca="1" si="60"/>
        <v>0</v>
      </c>
    </row>
    <row r="113" spans="53:62" x14ac:dyDescent="0.25">
      <c r="BA113">
        <f t="shared" si="62"/>
        <v>0.19600000000000015</v>
      </c>
      <c r="BB113" s="48">
        <f t="shared" si="61"/>
        <v>9.8520345616575984</v>
      </c>
      <c r="BC113" s="69">
        <f t="shared" ca="1" si="63"/>
        <v>-0.80888759098200669</v>
      </c>
      <c r="BD113" s="69">
        <f t="shared" ca="1" si="54"/>
        <v>-72.690159645213711</v>
      </c>
      <c r="BE113" s="70">
        <f t="shared" ca="1" si="55"/>
        <v>104.5960883817141</v>
      </c>
      <c r="BF113" s="70">
        <f t="shared" ca="1" si="56"/>
        <v>14.16630163350915</v>
      </c>
      <c r="BG113" s="70">
        <f t="shared" ca="1" si="57"/>
        <v>-41.747788412837068</v>
      </c>
      <c r="BH113" s="70">
        <f t="shared" ca="1" si="58"/>
        <v>0</v>
      </c>
      <c r="BI113" s="70">
        <f t="shared" ca="1" si="59"/>
        <v>0</v>
      </c>
      <c r="BJ113" s="70">
        <f t="shared" ca="1" si="60"/>
        <v>0</v>
      </c>
    </row>
    <row r="114" spans="53:62" x14ac:dyDescent="0.25">
      <c r="BA114">
        <f t="shared" si="62"/>
        <v>0.19800000000000015</v>
      </c>
      <c r="BB114" s="48">
        <f t="shared" si="61"/>
        <v>9.9525655265724726</v>
      </c>
      <c r="BC114" s="69">
        <f t="shared" ca="1" si="63"/>
        <v>-8.9269682542360265</v>
      </c>
      <c r="BD114" s="69">
        <f t="shared" ca="1" si="54"/>
        <v>-69.292853742204784</v>
      </c>
      <c r="BE114" s="70">
        <f t="shared" ca="1" si="55"/>
        <v>110.23707789903175</v>
      </c>
      <c r="BF114" s="70">
        <f t="shared" ca="1" si="56"/>
        <v>15.026800645919799</v>
      </c>
      <c r="BG114" s="70">
        <f t="shared" ca="1" si="57"/>
        <v>-43.565100860787481</v>
      </c>
      <c r="BH114" s="70">
        <f t="shared" ca="1" si="58"/>
        <v>0</v>
      </c>
      <c r="BI114" s="70">
        <f t="shared" ca="1" si="59"/>
        <v>0</v>
      </c>
      <c r="BJ114" s="70">
        <f t="shared" ca="1" si="60"/>
        <v>0</v>
      </c>
    </row>
    <row r="115" spans="53:62" x14ac:dyDescent="0.25">
      <c r="BA115">
        <f t="shared" si="62"/>
        <v>0.20000000000000015</v>
      </c>
      <c r="BB115" s="48">
        <f t="shared" si="61"/>
        <v>10.053096491487345</v>
      </c>
      <c r="BC115" s="69">
        <f t="shared" ca="1" si="63"/>
        <v>-23.325410004145684</v>
      </c>
      <c r="BD115" s="69">
        <f t="shared" ca="1" si="54"/>
        <v>-65.367902487016906</v>
      </c>
      <c r="BE115" s="70">
        <f t="shared" ca="1" si="55"/>
        <v>115.48467026310146</v>
      </c>
      <c r="BF115" s="70">
        <f t="shared" ca="1" si="56"/>
        <v>16.350559484747347</v>
      </c>
      <c r="BG115" s="70">
        <f t="shared" ca="1" si="57"/>
        <v>-43.625993988843369</v>
      </c>
      <c r="BH115" s="70">
        <f t="shared" ca="1" si="58"/>
        <v>0</v>
      </c>
      <c r="BI115" s="70">
        <f t="shared" ca="1" si="59"/>
        <v>0</v>
      </c>
      <c r="BJ115" s="70">
        <f t="shared" ca="1" si="60"/>
        <v>0</v>
      </c>
    </row>
    <row r="116" spans="53:62" x14ac:dyDescent="0.25">
      <c r="BB116" s="48"/>
      <c r="BC116" s="29"/>
    </row>
    <row r="117" spans="53:62" x14ac:dyDescent="0.25">
      <c r="BB117" s="48"/>
      <c r="BC117" s="29"/>
    </row>
    <row r="118" spans="53:62" x14ac:dyDescent="0.25">
      <c r="BB118" s="48"/>
      <c r="BC118" s="29"/>
    </row>
    <row r="119" spans="53:62" x14ac:dyDescent="0.25">
      <c r="BB119" s="48"/>
      <c r="BC119" s="29"/>
    </row>
    <row r="120" spans="53:62" x14ac:dyDescent="0.25">
      <c r="BB120" s="48"/>
      <c r="BC120" s="29"/>
    </row>
    <row r="121" spans="53:62" x14ac:dyDescent="0.25">
      <c r="BB121" s="48"/>
      <c r="BC121" s="29"/>
    </row>
    <row r="122" spans="53:62" x14ac:dyDescent="0.25">
      <c r="BB122" s="48"/>
      <c r="BC122" s="29"/>
    </row>
    <row r="123" spans="53:62" x14ac:dyDescent="0.25">
      <c r="BB123" s="48"/>
      <c r="BC123" s="29"/>
    </row>
    <row r="124" spans="53:62" x14ac:dyDescent="0.25">
      <c r="BB124" s="48"/>
      <c r="BC124" s="29"/>
    </row>
    <row r="125" spans="53:62" x14ac:dyDescent="0.25">
      <c r="BB125" s="48"/>
      <c r="BC125" s="29"/>
    </row>
    <row r="126" spans="53:62" x14ac:dyDescent="0.25">
      <c r="BB126" s="48"/>
      <c r="BC126" s="29"/>
    </row>
    <row r="127" spans="53:62" x14ac:dyDescent="0.25">
      <c r="BB127" s="48"/>
      <c r="BC127" s="29"/>
    </row>
    <row r="128" spans="53:62" x14ac:dyDescent="0.25">
      <c r="BB128" s="48"/>
      <c r="BC128" s="29"/>
    </row>
    <row r="129" spans="54:55" x14ac:dyDescent="0.25">
      <c r="BB129" s="48"/>
      <c r="BC129" s="29"/>
    </row>
    <row r="130" spans="54:55" x14ac:dyDescent="0.25">
      <c r="BB130" s="48"/>
      <c r="BC130" s="29"/>
    </row>
    <row r="131" spans="54:55" x14ac:dyDescent="0.25">
      <c r="BB131" s="48"/>
      <c r="BC131" s="29"/>
    </row>
    <row r="132" spans="54:55" x14ac:dyDescent="0.25">
      <c r="BB132" s="48"/>
      <c r="BC132" s="29"/>
    </row>
    <row r="133" spans="54:55" x14ac:dyDescent="0.25">
      <c r="BB133" s="48"/>
      <c r="BC133" s="29"/>
    </row>
    <row r="134" spans="54:55" x14ac:dyDescent="0.25">
      <c r="BB134" s="48"/>
      <c r="BC134" s="29"/>
    </row>
    <row r="135" spans="54:55" x14ac:dyDescent="0.25">
      <c r="BB135" s="48"/>
      <c r="BC135" s="29"/>
    </row>
    <row r="136" spans="54:55" x14ac:dyDescent="0.25">
      <c r="BB136" s="48"/>
      <c r="BC136" s="29"/>
    </row>
    <row r="137" spans="54:55" x14ac:dyDescent="0.25">
      <c r="BB137" s="48"/>
      <c r="BC137" s="29"/>
    </row>
    <row r="138" spans="54:55" x14ac:dyDescent="0.25">
      <c r="BB138" s="48"/>
      <c r="BC138" s="29"/>
    </row>
    <row r="139" spans="54:55" x14ac:dyDescent="0.25">
      <c r="BB139" s="48"/>
      <c r="BC139" s="29"/>
    </row>
    <row r="140" spans="54:55" x14ac:dyDescent="0.25">
      <c r="BB140" s="48"/>
      <c r="BC140" s="29"/>
    </row>
    <row r="141" spans="54:55" x14ac:dyDescent="0.25">
      <c r="BB141" s="48"/>
      <c r="BC141" s="29"/>
    </row>
    <row r="142" spans="54:55" x14ac:dyDescent="0.25">
      <c r="BB142" s="48"/>
      <c r="BC142" s="29"/>
    </row>
    <row r="143" spans="54:55" x14ac:dyDescent="0.25">
      <c r="BB143" s="48"/>
      <c r="BC143" s="29"/>
    </row>
    <row r="144" spans="54:55" x14ac:dyDescent="0.25">
      <c r="BB144" s="48"/>
      <c r="BC144" s="29"/>
    </row>
    <row r="145" spans="54:55" x14ac:dyDescent="0.25">
      <c r="BB145" s="48"/>
      <c r="BC145" s="29"/>
    </row>
    <row r="146" spans="54:55" x14ac:dyDescent="0.25">
      <c r="BB146" s="48"/>
      <c r="BC146" s="29"/>
    </row>
    <row r="147" spans="54:55" x14ac:dyDescent="0.25">
      <c r="BB147" s="48"/>
      <c r="BC147" s="29"/>
    </row>
    <row r="148" spans="54:55" x14ac:dyDescent="0.25">
      <c r="BB148" s="48"/>
      <c r="BC148" s="29"/>
    </row>
    <row r="149" spans="54:55" x14ac:dyDescent="0.25">
      <c r="BB149" s="48"/>
      <c r="BC149" s="29"/>
    </row>
    <row r="150" spans="54:55" x14ac:dyDescent="0.25">
      <c r="BB150" s="48"/>
      <c r="BC150" s="29"/>
    </row>
    <row r="151" spans="54:55" x14ac:dyDescent="0.25">
      <c r="BB151" s="48"/>
      <c r="BC151" s="29"/>
    </row>
    <row r="152" spans="54:55" x14ac:dyDescent="0.25">
      <c r="BB152" s="48"/>
      <c r="BC152" s="29"/>
    </row>
    <row r="153" spans="54:55" x14ac:dyDescent="0.25">
      <c r="BB153" s="48"/>
      <c r="BC153" s="29"/>
    </row>
    <row r="154" spans="54:55" x14ac:dyDescent="0.25">
      <c r="BB154" s="48"/>
      <c r="BC154" s="29"/>
    </row>
    <row r="155" spans="54:55" x14ac:dyDescent="0.25">
      <c r="BB155" s="48"/>
      <c r="BC155" s="29"/>
    </row>
    <row r="156" spans="54:55" x14ac:dyDescent="0.25">
      <c r="BB156" s="48"/>
      <c r="BC156" s="29"/>
    </row>
    <row r="157" spans="54:55" x14ac:dyDescent="0.25">
      <c r="BB157" s="48"/>
      <c r="BC157" s="29"/>
    </row>
    <row r="158" spans="54:55" x14ac:dyDescent="0.25">
      <c r="BB158" s="48"/>
      <c r="BC158" s="29"/>
    </row>
    <row r="159" spans="54:55" x14ac:dyDescent="0.25">
      <c r="BB159" s="48"/>
      <c r="BC159" s="29"/>
    </row>
    <row r="160" spans="54:55" x14ac:dyDescent="0.25">
      <c r="BB160" s="48"/>
      <c r="BC160" s="29"/>
    </row>
    <row r="161" spans="54:55" x14ac:dyDescent="0.25">
      <c r="BB161" s="48"/>
      <c r="BC161" s="29"/>
    </row>
    <row r="162" spans="54:55" x14ac:dyDescent="0.25">
      <c r="BB162" s="48"/>
      <c r="BC162" s="29"/>
    </row>
    <row r="163" spans="54:55" x14ac:dyDescent="0.25">
      <c r="BB163" s="48"/>
      <c r="BC163" s="29"/>
    </row>
    <row r="164" spans="54:55" x14ac:dyDescent="0.25">
      <c r="BB164" s="48"/>
      <c r="BC164" s="29"/>
    </row>
    <row r="165" spans="54:55" x14ac:dyDescent="0.25">
      <c r="BB165" s="48"/>
      <c r="BC165" s="29"/>
    </row>
    <row r="166" spans="54:55" x14ac:dyDescent="0.25">
      <c r="BB166" s="48"/>
      <c r="BC166" s="29"/>
    </row>
    <row r="167" spans="54:55" x14ac:dyDescent="0.25">
      <c r="BB167" s="48"/>
      <c r="BC167" s="29"/>
    </row>
    <row r="168" spans="54:55" x14ac:dyDescent="0.25">
      <c r="BB168" s="48"/>
      <c r="BC168" s="29"/>
    </row>
    <row r="169" spans="54:55" x14ac:dyDescent="0.25">
      <c r="BB169" s="48"/>
      <c r="BC169" s="29"/>
    </row>
    <row r="170" spans="54:55" x14ac:dyDescent="0.25">
      <c r="BB170" s="48"/>
      <c r="BC170" s="29"/>
    </row>
    <row r="171" spans="54:55" x14ac:dyDescent="0.25">
      <c r="BB171" s="48"/>
      <c r="BC171" s="29"/>
    </row>
    <row r="172" spans="54:55" x14ac:dyDescent="0.25">
      <c r="BB172" s="48"/>
      <c r="BC172" s="29"/>
    </row>
    <row r="173" spans="54:55" x14ac:dyDescent="0.25">
      <c r="BB173" s="48"/>
      <c r="BC173" s="29"/>
    </row>
    <row r="174" spans="54:55" x14ac:dyDescent="0.25">
      <c r="BB174" s="48"/>
      <c r="BC174" s="29"/>
    </row>
    <row r="175" spans="54:55" x14ac:dyDescent="0.25">
      <c r="BB175" s="48"/>
      <c r="BC175" s="29"/>
    </row>
    <row r="176" spans="54:55" x14ac:dyDescent="0.25">
      <c r="BB176" s="48"/>
      <c r="BC176" s="29"/>
    </row>
    <row r="177" spans="54:55" x14ac:dyDescent="0.25">
      <c r="BB177" s="48"/>
      <c r="BC177" s="29"/>
    </row>
    <row r="178" spans="54:55" x14ac:dyDescent="0.25">
      <c r="BB178" s="48"/>
      <c r="BC178" s="29"/>
    </row>
    <row r="179" spans="54:55" x14ac:dyDescent="0.25">
      <c r="BB179" s="48"/>
      <c r="BC179" s="29"/>
    </row>
    <row r="180" spans="54:55" x14ac:dyDescent="0.25">
      <c r="BB180" s="48"/>
      <c r="BC180" s="29"/>
    </row>
    <row r="181" spans="54:55" x14ac:dyDescent="0.25">
      <c r="BB181" s="48"/>
      <c r="BC181" s="29"/>
    </row>
    <row r="182" spans="54:55" x14ac:dyDescent="0.25">
      <c r="BB182" s="48"/>
      <c r="BC182" s="29"/>
    </row>
    <row r="183" spans="54:55" x14ac:dyDescent="0.25">
      <c r="BB183" s="48"/>
      <c r="BC183" s="29"/>
    </row>
    <row r="184" spans="54:55" x14ac:dyDescent="0.25">
      <c r="BB184" s="48"/>
      <c r="BC184" s="29"/>
    </row>
    <row r="185" spans="54:55" x14ac:dyDescent="0.25">
      <c r="BB185" s="48"/>
      <c r="BC185" s="29"/>
    </row>
    <row r="186" spans="54:55" x14ac:dyDescent="0.25">
      <c r="BB186" s="48"/>
      <c r="BC186" s="29"/>
    </row>
    <row r="187" spans="54:55" x14ac:dyDescent="0.25">
      <c r="BB187" s="48"/>
      <c r="BC187" s="29"/>
    </row>
    <row r="188" spans="54:55" x14ac:dyDescent="0.25">
      <c r="BB188" s="48"/>
      <c r="BC188" s="29"/>
    </row>
    <row r="189" spans="54:55" x14ac:dyDescent="0.25">
      <c r="BB189" s="48"/>
      <c r="BC189" s="29"/>
    </row>
    <row r="190" spans="54:55" x14ac:dyDescent="0.25">
      <c r="BB190" s="48"/>
      <c r="BC190" s="29"/>
    </row>
    <row r="191" spans="54:55" x14ac:dyDescent="0.25">
      <c r="BB191" s="48"/>
      <c r="BC191" s="29"/>
    </row>
    <row r="192" spans="54:55" x14ac:dyDescent="0.25">
      <c r="BB192" s="48"/>
      <c r="BC192" s="29"/>
    </row>
    <row r="193" spans="54:55" x14ac:dyDescent="0.25">
      <c r="BB193" s="48"/>
      <c r="BC193" s="29"/>
    </row>
    <row r="194" spans="54:55" x14ac:dyDescent="0.25">
      <c r="BB194" s="48"/>
      <c r="BC194" s="29"/>
    </row>
    <row r="195" spans="54:55" x14ac:dyDescent="0.25">
      <c r="BB195" s="48"/>
      <c r="BC195" s="29"/>
    </row>
    <row r="196" spans="54:55" x14ac:dyDescent="0.25">
      <c r="BB196" s="48"/>
      <c r="BC196" s="29"/>
    </row>
    <row r="197" spans="54:55" x14ac:dyDescent="0.25">
      <c r="BB197" s="48"/>
      <c r="BC197" s="29"/>
    </row>
    <row r="198" spans="54:55" x14ac:dyDescent="0.25">
      <c r="BB198" s="48"/>
      <c r="BC198" s="29"/>
    </row>
    <row r="199" spans="54:55" x14ac:dyDescent="0.25">
      <c r="BB199" s="48"/>
      <c r="BC199" s="29"/>
    </row>
    <row r="200" spans="54:55" x14ac:dyDescent="0.25">
      <c r="BB200" s="48"/>
      <c r="BC200" s="29"/>
    </row>
    <row r="201" spans="54:55" x14ac:dyDescent="0.25">
      <c r="BB201" s="48"/>
      <c r="BC201" s="29"/>
    </row>
    <row r="202" spans="54:55" x14ac:dyDescent="0.25">
      <c r="BB202" s="48"/>
      <c r="BC202" s="29"/>
    </row>
    <row r="203" spans="54:55" x14ac:dyDescent="0.25">
      <c r="BB203" s="48"/>
      <c r="BC203" s="29"/>
    </row>
    <row r="204" spans="54:55" x14ac:dyDescent="0.25">
      <c r="BB204" s="48"/>
      <c r="BC204" s="29"/>
    </row>
  </sheetData>
  <conditionalFormatting sqref="D13:AG13">
    <cfRule type="cellIs" dxfId="7" priority="17" operator="between">
      <formula>-0.1</formula>
      <formula>0.1</formula>
    </cfRule>
    <cfRule type="cellIs" dxfId="6" priority="18" operator="between">
      <formula>6.27</formula>
      <formula>6.29</formula>
    </cfRule>
  </conditionalFormatting>
  <conditionalFormatting sqref="AH13:AO13">
    <cfRule type="cellIs" dxfId="5" priority="5" operator="between">
      <formula>-0.1</formula>
      <formula>0.1</formula>
    </cfRule>
    <cfRule type="cellIs" dxfId="4" priority="6" operator="between">
      <formula>6.27</formula>
      <formula>6.29</formula>
    </cfRule>
  </conditionalFormatting>
  <conditionalFormatting sqref="AP13:AQ13">
    <cfRule type="cellIs" dxfId="3" priority="3" operator="between">
      <formula>-0.1</formula>
      <formula>0.1</formula>
    </cfRule>
    <cfRule type="cellIs" dxfId="2" priority="4" operator="between">
      <formula>6.27</formula>
      <formula>6.29</formula>
    </cfRule>
  </conditionalFormatting>
  <conditionalFormatting sqref="AR13:AY13">
    <cfRule type="cellIs" dxfId="1" priority="1" operator="between">
      <formula>-0.1</formula>
      <formula>0.1</formula>
    </cfRule>
    <cfRule type="cellIs" dxfId="0" priority="2" operator="between">
      <formula>6.27</formula>
      <formula>6.29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104"/>
  <sheetViews>
    <sheetView workbookViewId="0">
      <selection activeCell="M4" sqref="M4"/>
    </sheetView>
  </sheetViews>
  <sheetFormatPr defaultRowHeight="15" x14ac:dyDescent="0.25"/>
  <cols>
    <col min="2" max="9" width="5.7109375" customWidth="1"/>
    <col min="10" max="11" width="6.5703125" customWidth="1"/>
    <col min="13" max="13" width="8.42578125" customWidth="1"/>
    <col min="14" max="14" width="8.28515625" customWidth="1"/>
    <col min="15" max="15" width="8.85546875" customWidth="1"/>
    <col min="16" max="20" width="6.7109375" customWidth="1"/>
  </cols>
  <sheetData>
    <row r="1" spans="1:20" x14ac:dyDescent="0.25">
      <c r="B1" s="15" t="s">
        <v>35</v>
      </c>
      <c r="C1" s="25">
        <f>Lind!S4</f>
        <v>8</v>
      </c>
      <c r="D1" t="s">
        <v>36</v>
      </c>
      <c r="H1" s="15" t="s">
        <v>46</v>
      </c>
      <c r="I1">
        <f>C1*2*PI()</f>
        <v>50.26548245743669</v>
      </c>
      <c r="J1" t="s">
        <v>45</v>
      </c>
    </row>
    <row r="3" spans="1:20" x14ac:dyDescent="0.25"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7</v>
      </c>
      <c r="I3">
        <v>8</v>
      </c>
      <c r="L3" t="s">
        <v>37</v>
      </c>
      <c r="M3" t="s">
        <v>38</v>
      </c>
      <c r="N3" t="s">
        <v>41</v>
      </c>
      <c r="O3" t="s">
        <v>42</v>
      </c>
      <c r="P3" t="s">
        <v>43</v>
      </c>
      <c r="Q3" t="s">
        <v>44</v>
      </c>
      <c r="R3" t="s">
        <v>51</v>
      </c>
      <c r="S3" t="s">
        <v>52</v>
      </c>
      <c r="T3" t="s">
        <v>53</v>
      </c>
    </row>
    <row r="4" spans="1:20" x14ac:dyDescent="0.25">
      <c r="A4" t="s">
        <v>39</v>
      </c>
      <c r="B4" s="27">
        <f>Räkn!$BA38</f>
        <v>4.6000000000000027E-2</v>
      </c>
      <c r="C4" s="27">
        <f>Räkn!$BA40</f>
        <v>5.0000000000000031E-2</v>
      </c>
      <c r="D4" s="27">
        <f>Räkn!$BA42</f>
        <v>5.4000000000000034E-2</v>
      </c>
      <c r="E4" s="27">
        <f>Räkn!$BA44</f>
        <v>5.8000000000000038E-2</v>
      </c>
      <c r="F4" s="27">
        <f>Räkn!$BA46</f>
        <v>6.2000000000000041E-2</v>
      </c>
      <c r="G4" s="27">
        <f>Räkn!$BA48</f>
        <v>6.6000000000000045E-2</v>
      </c>
      <c r="H4" s="27">
        <f>Räkn!$BA50</f>
        <v>7.0000000000000048E-2</v>
      </c>
      <c r="I4" s="27">
        <f>Räkn!$BA52</f>
        <v>7.4000000000000052E-2</v>
      </c>
      <c r="L4">
        <v>0</v>
      </c>
      <c r="M4" s="29">
        <f ca="1">B$4*MAGNET($I$1*$L4+B$5*PI()/180)+(RAND()-0.5)*$B$4*$B$13</f>
        <v>-4.0004727806881316E-5</v>
      </c>
      <c r="N4" s="29">
        <f t="shared" ref="N4:T4" ca="1" si="0">C$4*MAGNET($I$1*$L4+C$5*PI()/180)+(RAND()-0.5)*$B$4*$B$13</f>
        <v>-1.6268845053029644E-4</v>
      </c>
      <c r="O4" s="29">
        <f t="shared" ca="1" si="0"/>
        <v>-2.548937590253156E-4</v>
      </c>
      <c r="P4" s="29">
        <f t="shared" ca="1" si="0"/>
        <v>3.2731339073261301E-3</v>
      </c>
      <c r="Q4" s="29">
        <f t="shared" ca="1" si="0"/>
        <v>-5.4605111643882503E-4</v>
      </c>
      <c r="R4" s="29">
        <f t="shared" ca="1" si="0"/>
        <v>2.9180850794203344E-4</v>
      </c>
      <c r="S4" s="29">
        <f t="shared" ca="1" si="0"/>
        <v>3.6533991502356317E-4</v>
      </c>
      <c r="T4" s="29">
        <f t="shared" ca="1" si="0"/>
        <v>8.8385004641224432E-5</v>
      </c>
    </row>
    <row r="5" spans="1:20" x14ac:dyDescent="0.25">
      <c r="A5" t="s">
        <v>40</v>
      </c>
      <c r="B5" s="27">
        <f>Räkn!$AN38</f>
        <v>0</v>
      </c>
      <c r="C5" s="27">
        <f>Räkn!$AN40</f>
        <v>0</v>
      </c>
      <c r="D5" s="27">
        <f>Räkn!$AN42</f>
        <v>0</v>
      </c>
      <c r="E5" s="27">
        <f>Räkn!$AN44</f>
        <v>4</v>
      </c>
      <c r="F5" s="27">
        <f>Räkn!$AN46</f>
        <v>0</v>
      </c>
      <c r="G5" s="27">
        <f>Räkn!$AN48</f>
        <v>0</v>
      </c>
      <c r="H5" s="27">
        <f>Räkn!$AN50</f>
        <v>0</v>
      </c>
      <c r="I5" s="27">
        <f>Räkn!$AN52</f>
        <v>0</v>
      </c>
      <c r="L5">
        <f>L4+0.002</f>
        <v>2E-3</v>
      </c>
      <c r="M5" s="29">
        <f t="shared" ref="M5:M68" ca="1" si="1">B$4*MAGNET($I$1*$L5+B$5*PI()/180)+(RAND()-0.5)*$B$4*$B$13</f>
        <v>4.1782788100881837E-3</v>
      </c>
      <c r="N5" s="29">
        <f t="shared" ref="N5:N68" ca="1" si="2">C$4*MAGNET($I$1*$L5+C$5*PI()/180)+(RAND()-0.5)*$B$4*$B$13</f>
        <v>5.4215168674802599E-3</v>
      </c>
      <c r="O5" s="29">
        <f t="shared" ref="O5:O68" ca="1" si="3">D$4*MAGNET($I$1*$L5+D$5*PI()/180)+(RAND()-0.5)*$B$4*$B$13</f>
        <v>5.2898362219413186E-3</v>
      </c>
      <c r="P5" s="29">
        <f t="shared" ref="P5:P68" ca="1" si="4">E$4*MAGNET($I$1*$L5+E$5*PI()/180)+(RAND()-0.5)*$B$4*$B$13</f>
        <v>1.0888818782954859E-2</v>
      </c>
      <c r="Q5" s="29">
        <f t="shared" ref="Q5:Q68" ca="1" si="5">F$4*MAGNET($I$1*$L5+F$5*PI()/180)+(RAND()-0.5)*$B$4*$B$13</f>
        <v>6.8773391011341606E-3</v>
      </c>
      <c r="R5" s="29">
        <f t="shared" ref="R5:R68" ca="1" si="6">G$4*MAGNET($I$1*$L5+G$5*PI()/180)+(RAND()-0.5)*$B$4*$B$13</f>
        <v>6.2567124933964619E-3</v>
      </c>
      <c r="S5" s="29">
        <f t="shared" ref="S5:S68" ca="1" si="7">H$4*MAGNET($I$1*$L5+H$5*PI()/180)+(RAND()-0.5)*$B$4*$B$13</f>
        <v>7.1820764550019362E-3</v>
      </c>
      <c r="T5" s="29">
        <f t="shared" ref="T5:T68" ca="1" si="8">I$4*MAGNET($I$1*$L5+I$5*PI()/180)+(RAND()-0.5)*$B$4*$B$13</f>
        <v>6.8594179894778057E-3</v>
      </c>
    </row>
    <row r="6" spans="1:20" x14ac:dyDescent="0.25">
      <c r="B6" s="43"/>
      <c r="C6" s="43"/>
      <c r="D6" s="43"/>
      <c r="E6" s="43"/>
      <c r="F6" s="43"/>
      <c r="G6" s="43"/>
      <c r="H6" s="43"/>
      <c r="I6" s="43"/>
      <c r="L6">
        <f t="shared" ref="L6:L69" si="9">L5+0.002</f>
        <v>4.0000000000000001E-3</v>
      </c>
      <c r="M6" s="29">
        <f t="shared" ca="1" si="1"/>
        <v>9.6988689296578882E-3</v>
      </c>
      <c r="N6" s="29">
        <f t="shared" ca="1" si="2"/>
        <v>1.1112928533114699E-2</v>
      </c>
      <c r="O6" s="29">
        <f t="shared" ca="1" si="3"/>
        <v>1.1360793085155739E-2</v>
      </c>
      <c r="P6" s="29">
        <f t="shared" ca="1" si="4"/>
        <v>1.737273186366186E-2</v>
      </c>
      <c r="Q6" s="29">
        <f t="shared" ca="1" si="5"/>
        <v>1.4187379892699121E-2</v>
      </c>
      <c r="R6" s="29">
        <f t="shared" ca="1" si="6"/>
        <v>1.3883266074201964E-2</v>
      </c>
      <c r="S6" s="29">
        <f t="shared" ca="1" si="7"/>
        <v>1.5941242784938116E-2</v>
      </c>
      <c r="T6" s="29">
        <f t="shared" ca="1" si="8"/>
        <v>1.6707319417752275E-2</v>
      </c>
    </row>
    <row r="7" spans="1:20" x14ac:dyDescent="0.25">
      <c r="B7" s="27"/>
      <c r="C7" s="27"/>
      <c r="D7" s="27"/>
      <c r="E7" s="27"/>
      <c r="F7" s="27"/>
      <c r="G7" s="27"/>
      <c r="H7" s="27"/>
      <c r="I7" s="27"/>
      <c r="L7">
        <f t="shared" si="9"/>
        <v>6.0000000000000001E-3</v>
      </c>
      <c r="M7" s="29">
        <f t="shared" ca="1" si="1"/>
        <v>1.5803076715160364E-2</v>
      </c>
      <c r="N7" s="29">
        <f t="shared" ca="1" si="2"/>
        <v>1.7128527671647971E-2</v>
      </c>
      <c r="O7" s="29">
        <f t="shared" ca="1" si="3"/>
        <v>1.8293316687715128E-2</v>
      </c>
      <c r="P7" s="29">
        <f t="shared" ca="1" si="4"/>
        <v>2.4843543847027288E-2</v>
      </c>
      <c r="Q7" s="29">
        <f t="shared" ca="1" si="5"/>
        <v>2.1102055778993243E-2</v>
      </c>
      <c r="R7" s="29">
        <f t="shared" ca="1" si="6"/>
        <v>2.3522147168238704E-2</v>
      </c>
      <c r="S7" s="29">
        <f t="shared" ca="1" si="7"/>
        <v>2.457338475633793E-2</v>
      </c>
      <c r="T7" s="29">
        <f t="shared" ca="1" si="8"/>
        <v>2.5487528893125871E-2</v>
      </c>
    </row>
    <row r="8" spans="1:20" x14ac:dyDescent="0.25">
      <c r="L8">
        <f t="shared" si="9"/>
        <v>8.0000000000000002E-3</v>
      </c>
      <c r="M8" s="29">
        <f t="shared" ca="1" si="1"/>
        <v>2.1539437790348604E-2</v>
      </c>
      <c r="N8" s="29">
        <f t="shared" ca="1" si="2"/>
        <v>2.3681766370085545E-2</v>
      </c>
      <c r="O8" s="29">
        <f t="shared" ca="1" si="3"/>
        <v>2.5623440243537191E-2</v>
      </c>
      <c r="P8" s="29">
        <f t="shared" ca="1" si="4"/>
        <v>3.2075385699980412E-2</v>
      </c>
      <c r="Q8" s="29">
        <f t="shared" ca="1" si="5"/>
        <v>2.9599571887103739E-2</v>
      </c>
      <c r="R8" s="29">
        <f t="shared" ca="1" si="6"/>
        <v>3.1339263416732863E-2</v>
      </c>
      <c r="S8" s="29">
        <f t="shared" ca="1" si="7"/>
        <v>3.2731990334010655E-2</v>
      </c>
      <c r="T8" s="29">
        <f t="shared" ca="1" si="8"/>
        <v>3.531646912839706E-2</v>
      </c>
    </row>
    <row r="9" spans="1:20" x14ac:dyDescent="0.25">
      <c r="B9" s="27"/>
      <c r="C9" s="27"/>
      <c r="D9" s="27"/>
      <c r="E9" s="27"/>
      <c r="F9" s="27"/>
      <c r="G9" s="27"/>
      <c r="H9" s="27"/>
      <c r="I9" s="27"/>
      <c r="L9">
        <f t="shared" si="9"/>
        <v>0.01</v>
      </c>
      <c r="M9" s="29">
        <f t="shared" ca="1" si="1"/>
        <v>2.7392159466598353E-2</v>
      </c>
      <c r="N9" s="29">
        <f t="shared" ca="1" si="2"/>
        <v>2.9452815940221654E-2</v>
      </c>
      <c r="O9" s="29">
        <f t="shared" ca="1" si="3"/>
        <v>3.2762447341789416E-2</v>
      </c>
      <c r="P9" s="29">
        <f t="shared" ca="1" si="4"/>
        <v>3.9092552610859255E-2</v>
      </c>
      <c r="Q9" s="29">
        <f t="shared" ca="1" si="5"/>
        <v>3.6936482466885578E-2</v>
      </c>
      <c r="R9" s="29">
        <f t="shared" ca="1" si="6"/>
        <v>3.933540875680195E-2</v>
      </c>
      <c r="S9" s="29">
        <f t="shared" ca="1" si="7"/>
        <v>4.1448247328378297E-2</v>
      </c>
      <c r="T9" s="29">
        <f t="shared" ca="1" si="8"/>
        <v>4.3586230737092946E-2</v>
      </c>
    </row>
    <row r="10" spans="1:20" x14ac:dyDescent="0.25">
      <c r="L10">
        <f t="shared" si="9"/>
        <v>1.2E-2</v>
      </c>
      <c r="M10" s="29">
        <f t="shared" ca="1" si="1"/>
        <v>3.2509476967139087E-2</v>
      </c>
      <c r="N10" s="29">
        <f t="shared" ca="1" si="2"/>
        <v>3.5078368442346984E-2</v>
      </c>
      <c r="O10" s="29">
        <f t="shared" ca="1" si="3"/>
        <v>3.7596080487947596E-2</v>
      </c>
      <c r="P10" s="29">
        <f t="shared" ca="1" si="4"/>
        <v>4.5120571556474753E-2</v>
      </c>
      <c r="Q10" s="29">
        <f t="shared" ca="1" si="5"/>
        <v>4.381808102962427E-2</v>
      </c>
      <c r="R10" s="29">
        <f t="shared" ca="1" si="6"/>
        <v>4.6966839159412202E-2</v>
      </c>
      <c r="S10" s="29">
        <f t="shared" ca="1" si="7"/>
        <v>4.9301409076161082E-2</v>
      </c>
      <c r="T10" s="29">
        <f t="shared" ca="1" si="8"/>
        <v>5.2330916506778805E-2</v>
      </c>
    </row>
    <row r="11" spans="1:20" x14ac:dyDescent="0.25">
      <c r="L11">
        <f t="shared" si="9"/>
        <v>1.4E-2</v>
      </c>
      <c r="M11" s="29">
        <f t="shared" ca="1" si="1"/>
        <v>3.6183796686895524E-2</v>
      </c>
      <c r="N11" s="29">
        <f t="shared" ca="1" si="2"/>
        <v>4.024106762174165E-2</v>
      </c>
      <c r="O11" s="29">
        <f t="shared" ca="1" si="3"/>
        <v>4.3485810004714229E-2</v>
      </c>
      <c r="P11" s="29">
        <f t="shared" ca="1" si="4"/>
        <v>4.9573058742409977E-2</v>
      </c>
      <c r="Q11" s="29">
        <f t="shared" ca="1" si="5"/>
        <v>4.8807238307920442E-2</v>
      </c>
      <c r="R11" s="29">
        <f t="shared" ca="1" si="6"/>
        <v>5.2490942170849209E-2</v>
      </c>
      <c r="S11" s="29">
        <f t="shared" ca="1" si="7"/>
        <v>5.6227698986463626E-2</v>
      </c>
      <c r="T11" s="29">
        <f t="shared" ca="1" si="8"/>
        <v>5.9058688869819333E-2</v>
      </c>
    </row>
    <row r="12" spans="1:20" x14ac:dyDescent="0.25">
      <c r="L12">
        <f t="shared" si="9"/>
        <v>1.6E-2</v>
      </c>
      <c r="M12" s="29">
        <f t="shared" ca="1" si="1"/>
        <v>4.0059094493757386E-2</v>
      </c>
      <c r="N12" s="29">
        <f t="shared" ca="1" si="2"/>
        <v>4.3471691638142018E-2</v>
      </c>
      <c r="O12" s="29">
        <f t="shared" ca="1" si="3"/>
        <v>4.6707826800390852E-2</v>
      </c>
      <c r="P12" s="29">
        <f t="shared" ca="1" si="4"/>
        <v>5.2501623417933914E-2</v>
      </c>
      <c r="Q12" s="29">
        <f t="shared" ca="1" si="5"/>
        <v>5.4058965657654022E-2</v>
      </c>
      <c r="R12" s="29">
        <f t="shared" ca="1" si="6"/>
        <v>5.7305530469901465E-2</v>
      </c>
      <c r="S12" s="29">
        <f t="shared" ca="1" si="7"/>
        <v>6.0551498504956683E-2</v>
      </c>
      <c r="T12" s="29">
        <f t="shared" ca="1" si="8"/>
        <v>6.4166417697841829E-2</v>
      </c>
    </row>
    <row r="13" spans="1:20" x14ac:dyDescent="0.25">
      <c r="A13" t="s">
        <v>47</v>
      </c>
      <c r="B13" s="35">
        <f>Lind!S7</f>
        <v>0.03</v>
      </c>
      <c r="L13">
        <f t="shared" si="9"/>
        <v>1.8000000000000002E-2</v>
      </c>
      <c r="M13" s="29">
        <f t="shared" ca="1" si="1"/>
        <v>4.208655015764759E-2</v>
      </c>
      <c r="N13" s="29">
        <f t="shared" ca="1" si="2"/>
        <v>4.6146863320093393E-2</v>
      </c>
      <c r="O13" s="29">
        <f t="shared" ca="1" si="3"/>
        <v>4.9716389597134189E-2</v>
      </c>
      <c r="P13" s="29">
        <f t="shared" ca="1" si="4"/>
        <v>5.5525538934378761E-2</v>
      </c>
      <c r="Q13" s="29">
        <f t="shared" ca="1" si="5"/>
        <v>5.7167650593860954E-2</v>
      </c>
      <c r="R13" s="29">
        <f t="shared" ca="1" si="6"/>
        <v>6.1097163194710216E-2</v>
      </c>
      <c r="S13" s="29">
        <f t="shared" ca="1" si="7"/>
        <v>6.4270479415041257E-2</v>
      </c>
      <c r="T13" s="29">
        <f t="shared" ca="1" si="8"/>
        <v>6.8533864914683232E-2</v>
      </c>
    </row>
    <row r="14" spans="1:20" x14ac:dyDescent="0.25">
      <c r="L14">
        <f t="shared" si="9"/>
        <v>2.0000000000000004E-2</v>
      </c>
      <c r="M14" s="29">
        <f t="shared" ca="1" si="1"/>
        <v>4.4028557523512084E-2</v>
      </c>
      <c r="N14" s="29">
        <f t="shared" ca="1" si="2"/>
        <v>4.7355704696716912E-2</v>
      </c>
      <c r="O14" s="29">
        <f t="shared" ca="1" si="3"/>
        <v>5.2506235116524289E-2</v>
      </c>
      <c r="P14" s="29">
        <f t="shared" ca="1" si="4"/>
        <v>5.6497285022241016E-2</v>
      </c>
      <c r="Q14" s="29">
        <f t="shared" ca="1" si="5"/>
        <v>5.8829385982808506E-2</v>
      </c>
      <c r="R14" s="29">
        <f t="shared" ca="1" si="6"/>
        <v>6.2728733114681579E-2</v>
      </c>
      <c r="S14" s="29">
        <f t="shared" ca="1" si="7"/>
        <v>6.7533627722364556E-2</v>
      </c>
      <c r="T14" s="29">
        <f t="shared" ca="1" si="8"/>
        <v>7.0825898863311101E-2</v>
      </c>
    </row>
    <row r="15" spans="1:20" x14ac:dyDescent="0.25">
      <c r="L15">
        <f t="shared" si="9"/>
        <v>2.2000000000000006E-2</v>
      </c>
      <c r="M15" s="29">
        <f t="shared" ca="1" si="1"/>
        <v>4.5741469675798903E-2</v>
      </c>
      <c r="N15" s="29">
        <f t="shared" ca="1" si="2"/>
        <v>4.8482608268066989E-2</v>
      </c>
      <c r="O15" s="29">
        <f t="shared" ca="1" si="3"/>
        <v>5.3482402804837209E-2</v>
      </c>
      <c r="P15" s="29">
        <f t="shared" ca="1" si="4"/>
        <v>5.801639877324196E-2</v>
      </c>
      <c r="Q15" s="29">
        <f t="shared" ca="1" si="5"/>
        <v>6.1369266200010195E-2</v>
      </c>
      <c r="R15" s="29">
        <f t="shared" ca="1" si="6"/>
        <v>6.4917318355275686E-2</v>
      </c>
      <c r="S15" s="29">
        <f t="shared" ca="1" si="7"/>
        <v>6.8304781096228076E-2</v>
      </c>
      <c r="T15" s="29">
        <f t="shared" ca="1" si="8"/>
        <v>7.2095655800598124E-2</v>
      </c>
    </row>
    <row r="16" spans="1:20" x14ac:dyDescent="0.25">
      <c r="E16" s="44"/>
      <c r="L16">
        <f t="shared" si="9"/>
        <v>2.4000000000000007E-2</v>
      </c>
      <c r="M16" s="29">
        <f t="shared" ca="1" si="1"/>
        <v>4.5911464194543061E-2</v>
      </c>
      <c r="N16" s="29">
        <f t="shared" ca="1" si="2"/>
        <v>4.9083580068470155E-2</v>
      </c>
      <c r="O16" s="29">
        <f t="shared" ca="1" si="3"/>
        <v>5.3822204964193272E-2</v>
      </c>
      <c r="P16" s="29">
        <f t="shared" ca="1" si="4"/>
        <v>5.7266501337866711E-2</v>
      </c>
      <c r="Q16" s="29">
        <f t="shared" ca="1" si="5"/>
        <v>6.174019720810274E-2</v>
      </c>
      <c r="R16" s="29">
        <f t="shared" ca="1" si="6"/>
        <v>6.5876841509912368E-2</v>
      </c>
      <c r="S16" s="29">
        <f t="shared" ca="1" si="7"/>
        <v>7.0191689494311829E-2</v>
      </c>
      <c r="T16" s="29">
        <f t="shared" ca="1" si="8"/>
        <v>7.3773345450443437E-2</v>
      </c>
    </row>
    <row r="17" spans="12:20" x14ac:dyDescent="0.25">
      <c r="L17">
        <f t="shared" si="9"/>
        <v>2.6000000000000009E-2</v>
      </c>
      <c r="M17" s="29">
        <f t="shared" ca="1" si="1"/>
        <v>4.6094452561653912E-2</v>
      </c>
      <c r="N17" s="29">
        <f t="shared" ca="1" si="2"/>
        <v>5.0642397838068419E-2</v>
      </c>
      <c r="O17" s="29">
        <f t="shared" ca="1" si="3"/>
        <v>5.4012785440393195E-2</v>
      </c>
      <c r="P17" s="29">
        <f t="shared" ca="1" si="4"/>
        <v>5.7739655567248326E-2</v>
      </c>
      <c r="Q17" s="29">
        <f t="shared" ca="1" si="5"/>
        <v>6.1312571889307055E-2</v>
      </c>
      <c r="R17" s="29">
        <f t="shared" ca="1" si="6"/>
        <v>6.6022100960663008E-2</v>
      </c>
      <c r="S17" s="29">
        <f t="shared" ca="1" si="7"/>
        <v>6.9801185662456758E-2</v>
      </c>
      <c r="T17" s="29">
        <f t="shared" ca="1" si="8"/>
        <v>7.3873652233640771E-2</v>
      </c>
    </row>
    <row r="18" spans="12:20" x14ac:dyDescent="0.25">
      <c r="L18">
        <f t="shared" si="9"/>
        <v>2.8000000000000011E-2</v>
      </c>
      <c r="M18" s="29">
        <f t="shared" ca="1" si="1"/>
        <v>4.5743476465045348E-2</v>
      </c>
      <c r="N18" s="29">
        <f t="shared" ca="1" si="2"/>
        <v>5.0405654866608945E-2</v>
      </c>
      <c r="O18" s="29">
        <f t="shared" ca="1" si="3"/>
        <v>5.4519312420811455E-2</v>
      </c>
      <c r="P18" s="29">
        <f t="shared" ca="1" si="4"/>
        <v>5.7977012747364998E-2</v>
      </c>
      <c r="Q18" s="29">
        <f t="shared" ca="1" si="5"/>
        <v>6.2003511888007318E-2</v>
      </c>
      <c r="R18" s="29">
        <f t="shared" ca="1" si="6"/>
        <v>6.616878407212963E-2</v>
      </c>
      <c r="S18" s="29">
        <f t="shared" ca="1" si="7"/>
        <v>7.0422954941457283E-2</v>
      </c>
      <c r="T18" s="29">
        <f t="shared" ca="1" si="8"/>
        <v>7.3496909451194789E-2</v>
      </c>
    </row>
    <row r="19" spans="12:20" x14ac:dyDescent="0.25">
      <c r="L19">
        <f t="shared" si="9"/>
        <v>3.0000000000000013E-2</v>
      </c>
      <c r="M19" s="29">
        <f t="shared" ca="1" si="1"/>
        <v>4.629879386483296E-2</v>
      </c>
      <c r="N19" s="29">
        <f t="shared" ca="1" si="2"/>
        <v>4.9614562086170926E-2</v>
      </c>
      <c r="O19" s="29">
        <f t="shared" ca="1" si="3"/>
        <v>5.4153311219322604E-2</v>
      </c>
      <c r="P19" s="29">
        <f t="shared" ca="1" si="4"/>
        <v>5.8226173833412623E-2</v>
      </c>
      <c r="Q19" s="29">
        <f t="shared" ca="1" si="5"/>
        <v>6.1979150532486649E-2</v>
      </c>
      <c r="R19" s="29">
        <f t="shared" ca="1" si="6"/>
        <v>6.6010934765127843E-2</v>
      </c>
      <c r="S19" s="29">
        <f t="shared" ca="1" si="7"/>
        <v>6.9836007358167487E-2</v>
      </c>
      <c r="T19" s="29">
        <f t="shared" ca="1" si="8"/>
        <v>7.3404891039821188E-2</v>
      </c>
    </row>
    <row r="20" spans="12:20" x14ac:dyDescent="0.25">
      <c r="L20">
        <f t="shared" si="9"/>
        <v>3.2000000000000015E-2</v>
      </c>
      <c r="M20" s="29">
        <f t="shared" ca="1" si="1"/>
        <v>4.573848684292222E-2</v>
      </c>
      <c r="N20" s="29">
        <f t="shared" ca="1" si="2"/>
        <v>4.9578609650193964E-2</v>
      </c>
      <c r="O20" s="29">
        <f t="shared" ca="1" si="3"/>
        <v>5.3499449734488003E-2</v>
      </c>
      <c r="P20" s="29">
        <f t="shared" ca="1" si="4"/>
        <v>5.7838361425458569E-2</v>
      </c>
      <c r="Q20" s="29">
        <f t="shared" ca="1" si="5"/>
        <v>6.2238540275621451E-2</v>
      </c>
      <c r="R20" s="29">
        <f t="shared" ca="1" si="6"/>
        <v>6.5805884100827661E-2</v>
      </c>
      <c r="S20" s="29">
        <f t="shared" ca="1" si="7"/>
        <v>6.9277120618100679E-2</v>
      </c>
      <c r="T20" s="29">
        <f t="shared" ca="1" si="8"/>
        <v>7.3820082226376926E-2</v>
      </c>
    </row>
    <row r="21" spans="12:20" x14ac:dyDescent="0.25">
      <c r="L21">
        <f t="shared" si="9"/>
        <v>3.4000000000000016E-2</v>
      </c>
      <c r="M21" s="29">
        <f t="shared" ca="1" si="1"/>
        <v>4.6639129404129141E-2</v>
      </c>
      <c r="N21" s="29">
        <f t="shared" ca="1" si="2"/>
        <v>5.0540276047570012E-2</v>
      </c>
      <c r="O21" s="29">
        <f t="shared" ca="1" si="3"/>
        <v>5.3971047751950364E-2</v>
      </c>
      <c r="P21" s="29">
        <f t="shared" ca="1" si="4"/>
        <v>5.7494512664996632E-2</v>
      </c>
      <c r="Q21" s="29">
        <f t="shared" ca="1" si="5"/>
        <v>6.2542348519516067E-2</v>
      </c>
      <c r="R21" s="29">
        <f t="shared" ca="1" si="6"/>
        <v>6.6147131136093468E-2</v>
      </c>
      <c r="S21" s="29">
        <f t="shared" ca="1" si="7"/>
        <v>7.0197788696640548E-2</v>
      </c>
      <c r="T21" s="29">
        <f t="shared" ca="1" si="8"/>
        <v>7.4334734095274579E-2</v>
      </c>
    </row>
    <row r="22" spans="12:20" x14ac:dyDescent="0.25">
      <c r="L22">
        <f t="shared" si="9"/>
        <v>3.6000000000000018E-2</v>
      </c>
      <c r="M22" s="29">
        <f t="shared" ca="1" si="1"/>
        <v>4.5383139534439863E-2</v>
      </c>
      <c r="N22" s="29">
        <f t="shared" ca="1" si="2"/>
        <v>5.0092730751898636E-2</v>
      </c>
      <c r="O22" s="29">
        <f t="shared" ca="1" si="3"/>
        <v>5.3927175753277767E-2</v>
      </c>
      <c r="P22" s="29">
        <f t="shared" ca="1" si="4"/>
        <v>5.790663128605112E-2</v>
      </c>
      <c r="Q22" s="29">
        <f t="shared" ca="1" si="5"/>
        <v>6.1720738947250171E-2</v>
      </c>
      <c r="R22" s="29">
        <f t="shared" ca="1" si="6"/>
        <v>6.5826092106195791E-2</v>
      </c>
      <c r="S22" s="29">
        <f t="shared" ca="1" si="7"/>
        <v>6.9578432627331641E-2</v>
      </c>
      <c r="T22" s="29">
        <f t="shared" ca="1" si="8"/>
        <v>7.3347229073103537E-2</v>
      </c>
    </row>
    <row r="23" spans="12:20" x14ac:dyDescent="0.25">
      <c r="L23">
        <f t="shared" si="9"/>
        <v>3.800000000000002E-2</v>
      </c>
      <c r="M23" s="29">
        <f t="shared" ca="1" si="1"/>
        <v>4.5358807864648645E-2</v>
      </c>
      <c r="N23" s="29">
        <f t="shared" ca="1" si="2"/>
        <v>5.0067362110319112E-2</v>
      </c>
      <c r="O23" s="29">
        <f t="shared" ca="1" si="3"/>
        <v>5.4112554940365737E-2</v>
      </c>
      <c r="P23" s="29">
        <f t="shared" ca="1" si="4"/>
        <v>5.7635250321038528E-2</v>
      </c>
      <c r="Q23" s="29">
        <f t="shared" ca="1" si="5"/>
        <v>6.2177135604020002E-2</v>
      </c>
      <c r="R23" s="29">
        <f t="shared" ca="1" si="6"/>
        <v>6.5445155021092952E-2</v>
      </c>
      <c r="S23" s="29">
        <f t="shared" ca="1" si="7"/>
        <v>6.98027248499513E-2</v>
      </c>
      <c r="T23" s="29">
        <f t="shared" ca="1" si="8"/>
        <v>7.3563098269142882E-2</v>
      </c>
    </row>
    <row r="24" spans="12:20" x14ac:dyDescent="0.25">
      <c r="L24">
        <f t="shared" si="9"/>
        <v>4.0000000000000022E-2</v>
      </c>
      <c r="M24" s="29">
        <f t="shared" ca="1" si="1"/>
        <v>4.5971705002985142E-2</v>
      </c>
      <c r="N24" s="29">
        <f t="shared" ca="1" si="2"/>
        <v>4.9244155347494142E-2</v>
      </c>
      <c r="O24" s="29">
        <f t="shared" ca="1" si="3"/>
        <v>5.3101118475836227E-2</v>
      </c>
      <c r="P24" s="29">
        <f t="shared" ca="1" si="4"/>
        <v>5.6539572648528866E-2</v>
      </c>
      <c r="Q24" s="29">
        <f t="shared" ca="1" si="5"/>
        <v>6.0576052153626721E-2</v>
      </c>
      <c r="R24" s="29">
        <f t="shared" ca="1" si="6"/>
        <v>6.4480036816210992E-2</v>
      </c>
      <c r="S24" s="29">
        <f t="shared" ca="1" si="7"/>
        <v>6.9190614033101214E-2</v>
      </c>
      <c r="T24" s="29">
        <f t="shared" ca="1" si="8"/>
        <v>7.243383887359478E-2</v>
      </c>
    </row>
    <row r="25" spans="12:20" x14ac:dyDescent="0.25">
      <c r="L25">
        <f t="shared" si="9"/>
        <v>4.2000000000000023E-2</v>
      </c>
      <c r="M25" s="29">
        <f t="shared" ca="1" si="1"/>
        <v>4.4863826235455477E-2</v>
      </c>
      <c r="N25" s="29">
        <f t="shared" ca="1" si="2"/>
        <v>4.8473283533556413E-2</v>
      </c>
      <c r="O25" s="29">
        <f t="shared" ca="1" si="3"/>
        <v>5.2506376529579346E-2</v>
      </c>
      <c r="P25" s="29">
        <f t="shared" ca="1" si="4"/>
        <v>5.5261142347916112E-2</v>
      </c>
      <c r="Q25" s="29">
        <f t="shared" ca="1" si="5"/>
        <v>5.9630492615851828E-2</v>
      </c>
      <c r="R25" s="29">
        <f t="shared" ca="1" si="6"/>
        <v>6.334069545342462E-2</v>
      </c>
      <c r="S25" s="29">
        <f t="shared" ca="1" si="7"/>
        <v>6.7538488798992727E-2</v>
      </c>
      <c r="T25" s="29">
        <f t="shared" ca="1" si="8"/>
        <v>7.1849080236456003E-2</v>
      </c>
    </row>
    <row r="26" spans="12:20" x14ac:dyDescent="0.25">
      <c r="L26">
        <f t="shared" si="9"/>
        <v>4.4000000000000025E-2</v>
      </c>
      <c r="M26" s="29">
        <f t="shared" ca="1" si="1"/>
        <v>4.2278546063587684E-2</v>
      </c>
      <c r="N26" s="29">
        <f t="shared" ca="1" si="2"/>
        <v>4.6759777637690549E-2</v>
      </c>
      <c r="O26" s="29">
        <f t="shared" ca="1" si="3"/>
        <v>5.066496637959049E-2</v>
      </c>
      <c r="P26" s="29">
        <f t="shared" ca="1" si="4"/>
        <v>5.1861334728382502E-2</v>
      </c>
      <c r="Q26" s="29">
        <f t="shared" ca="1" si="5"/>
        <v>5.7794578323073137E-2</v>
      </c>
      <c r="R26" s="29">
        <f t="shared" ca="1" si="6"/>
        <v>6.1238555234045589E-2</v>
      </c>
      <c r="S26" s="29">
        <f t="shared" ca="1" si="7"/>
        <v>6.5151752496687726E-2</v>
      </c>
      <c r="T26" s="29">
        <f t="shared" ca="1" si="8"/>
        <v>6.8663826095472003E-2</v>
      </c>
    </row>
    <row r="27" spans="12:20" x14ac:dyDescent="0.25">
      <c r="L27">
        <f t="shared" si="9"/>
        <v>4.6000000000000027E-2</v>
      </c>
      <c r="M27" s="29">
        <f t="shared" ca="1" si="1"/>
        <v>4.0634899615577931E-2</v>
      </c>
      <c r="N27" s="29">
        <f t="shared" ca="1" si="2"/>
        <v>4.3537851844274875E-2</v>
      </c>
      <c r="O27" s="29">
        <f t="shared" ca="1" si="3"/>
        <v>4.8042987441960901E-2</v>
      </c>
      <c r="P27" s="29">
        <f t="shared" ca="1" si="4"/>
        <v>4.7937129492306219E-2</v>
      </c>
      <c r="Q27" s="29">
        <f t="shared" ca="1" si="5"/>
        <v>5.5356222540988584E-2</v>
      </c>
      <c r="R27" s="29">
        <f t="shared" ca="1" si="6"/>
        <v>5.8221874411810627E-2</v>
      </c>
      <c r="S27" s="29">
        <f t="shared" ca="1" si="7"/>
        <v>6.1269226093436213E-2</v>
      </c>
      <c r="T27" s="29">
        <f t="shared" ca="1" si="8"/>
        <v>6.6048985558802245E-2</v>
      </c>
    </row>
    <row r="28" spans="12:20" x14ac:dyDescent="0.25">
      <c r="L28">
        <f t="shared" si="9"/>
        <v>4.8000000000000029E-2</v>
      </c>
      <c r="M28" s="29">
        <f t="shared" ca="1" si="1"/>
        <v>3.7190438266888497E-2</v>
      </c>
      <c r="N28" s="29">
        <f t="shared" ca="1" si="2"/>
        <v>4.0583989063330494E-2</v>
      </c>
      <c r="O28" s="29">
        <f t="shared" ca="1" si="3"/>
        <v>4.4537087047223714E-2</v>
      </c>
      <c r="P28" s="29">
        <f t="shared" ca="1" si="4"/>
        <v>4.4282865569414638E-2</v>
      </c>
      <c r="Q28" s="29">
        <f t="shared" ca="1" si="5"/>
        <v>5.1051927451101466E-2</v>
      </c>
      <c r="R28" s="29">
        <f t="shared" ca="1" si="6"/>
        <v>5.44487978812297E-2</v>
      </c>
      <c r="S28" s="29">
        <f t="shared" ca="1" si="7"/>
        <v>5.702635246949244E-2</v>
      </c>
      <c r="T28" s="29">
        <f t="shared" ca="1" si="8"/>
        <v>6.0915567107045536E-2</v>
      </c>
    </row>
    <row r="29" spans="12:20" x14ac:dyDescent="0.25">
      <c r="L29">
        <f t="shared" si="9"/>
        <v>5.0000000000000031E-2</v>
      </c>
      <c r="M29" s="29">
        <f t="shared" ca="1" si="1"/>
        <v>3.3571200399597767E-2</v>
      </c>
      <c r="N29" s="29">
        <f t="shared" ca="1" si="2"/>
        <v>3.6444919328906929E-2</v>
      </c>
      <c r="O29" s="29">
        <f t="shared" ca="1" si="3"/>
        <v>3.9403906577298926E-2</v>
      </c>
      <c r="P29" s="29">
        <f t="shared" ca="1" si="4"/>
        <v>3.8499634006571894E-2</v>
      </c>
      <c r="Q29" s="29">
        <f t="shared" ca="1" si="5"/>
        <v>4.5752582029067193E-2</v>
      </c>
      <c r="R29" s="29">
        <f t="shared" ca="1" si="6"/>
        <v>4.7806134032693091E-2</v>
      </c>
      <c r="S29" s="29">
        <f t="shared" ca="1" si="7"/>
        <v>5.0330943708095745E-2</v>
      </c>
      <c r="T29" s="29">
        <f t="shared" ca="1" si="8"/>
        <v>5.3596497839538064E-2</v>
      </c>
    </row>
    <row r="30" spans="12:20" x14ac:dyDescent="0.25">
      <c r="L30">
        <f t="shared" si="9"/>
        <v>5.2000000000000032E-2</v>
      </c>
      <c r="M30" s="29">
        <f t="shared" ca="1" si="1"/>
        <v>2.905526419547062E-2</v>
      </c>
      <c r="N30" s="29">
        <f t="shared" ca="1" si="2"/>
        <v>3.1656588003344019E-2</v>
      </c>
      <c r="O30" s="29">
        <f t="shared" ca="1" si="3"/>
        <v>3.4253016603094176E-2</v>
      </c>
      <c r="P30" s="29">
        <f t="shared" ca="1" si="4"/>
        <v>3.090913916972076E-2</v>
      </c>
      <c r="Q30" s="29">
        <f t="shared" ca="1" si="5"/>
        <v>3.9017646827412766E-2</v>
      </c>
      <c r="R30" s="29">
        <f t="shared" ca="1" si="6"/>
        <v>4.1409130656133206E-2</v>
      </c>
      <c r="S30" s="29">
        <f t="shared" ca="1" si="7"/>
        <v>4.3750235307490205E-2</v>
      </c>
      <c r="T30" s="29">
        <f t="shared" ca="1" si="8"/>
        <v>4.6548361866013688E-2</v>
      </c>
    </row>
    <row r="31" spans="12:20" x14ac:dyDescent="0.25">
      <c r="L31">
        <f t="shared" si="9"/>
        <v>5.4000000000000034E-2</v>
      </c>
      <c r="M31" s="29">
        <f t="shared" ca="1" si="1"/>
        <v>2.2677030142427026E-2</v>
      </c>
      <c r="N31" s="29">
        <f t="shared" ca="1" si="2"/>
        <v>2.5678220078091972E-2</v>
      </c>
      <c r="O31" s="29">
        <f t="shared" ca="1" si="3"/>
        <v>2.7402440706651297E-2</v>
      </c>
      <c r="P31" s="29">
        <f t="shared" ca="1" si="4"/>
        <v>2.4241993283774917E-2</v>
      </c>
      <c r="Q31" s="29">
        <f t="shared" ca="1" si="5"/>
        <v>3.0903238382938944E-2</v>
      </c>
      <c r="R31" s="29">
        <f t="shared" ca="1" si="6"/>
        <v>3.2694704172294572E-2</v>
      </c>
      <c r="S31" s="29">
        <f t="shared" ca="1" si="7"/>
        <v>3.5289631951082194E-2</v>
      </c>
      <c r="T31" s="29">
        <f t="shared" ca="1" si="8"/>
        <v>3.7419073057066946E-2</v>
      </c>
    </row>
    <row r="32" spans="12:20" x14ac:dyDescent="0.25">
      <c r="L32">
        <f t="shared" si="9"/>
        <v>5.6000000000000036E-2</v>
      </c>
      <c r="M32" s="29">
        <f t="shared" ca="1" si="1"/>
        <v>1.7710363043702611E-2</v>
      </c>
      <c r="N32" s="29">
        <f t="shared" ca="1" si="2"/>
        <v>1.8486929345688932E-2</v>
      </c>
      <c r="O32" s="29">
        <f t="shared" ca="1" si="3"/>
        <v>2.0988287950038764E-2</v>
      </c>
      <c r="P32" s="29">
        <f t="shared" ca="1" si="4"/>
        <v>1.6186354975536461E-2</v>
      </c>
      <c r="Q32" s="29">
        <f t="shared" ca="1" si="5"/>
        <v>2.3476666774997778E-2</v>
      </c>
      <c r="R32" s="29">
        <f t="shared" ca="1" si="6"/>
        <v>2.498875475648862E-2</v>
      </c>
      <c r="S32" s="29">
        <f t="shared" ca="1" si="7"/>
        <v>2.626273704661141E-2</v>
      </c>
      <c r="T32" s="29">
        <f t="shared" ca="1" si="8"/>
        <v>2.7559982880535065E-2</v>
      </c>
    </row>
    <row r="33" spans="12:20" x14ac:dyDescent="0.25">
      <c r="L33">
        <f t="shared" si="9"/>
        <v>5.8000000000000038E-2</v>
      </c>
      <c r="M33" s="29">
        <f t="shared" ca="1" si="1"/>
        <v>1.160498551564621E-2</v>
      </c>
      <c r="N33" s="29">
        <f t="shared" ca="1" si="2"/>
        <v>1.2783366474007969E-2</v>
      </c>
      <c r="O33" s="29">
        <f t="shared" ca="1" si="3"/>
        <v>1.3445410271119587E-2</v>
      </c>
      <c r="P33" s="29">
        <f t="shared" ca="1" si="4"/>
        <v>1.0135261364919226E-2</v>
      </c>
      <c r="Q33" s="29">
        <f t="shared" ca="1" si="5"/>
        <v>1.5379668852611135E-2</v>
      </c>
      <c r="R33" s="29">
        <f t="shared" ca="1" si="6"/>
        <v>1.6666358470800034E-2</v>
      </c>
      <c r="S33" s="29">
        <f t="shared" ca="1" si="7"/>
        <v>1.7192625541444101E-2</v>
      </c>
      <c r="T33" s="29">
        <f t="shared" ca="1" si="8"/>
        <v>1.7845848393753E-2</v>
      </c>
    </row>
    <row r="34" spans="12:20" x14ac:dyDescent="0.25">
      <c r="L34">
        <f t="shared" si="9"/>
        <v>6.0000000000000039E-2</v>
      </c>
      <c r="M34" s="29">
        <f t="shared" ca="1" si="1"/>
        <v>6.4324865559934434E-3</v>
      </c>
      <c r="N34" s="29">
        <f t="shared" ca="1" si="2"/>
        <v>6.9385472745836533E-3</v>
      </c>
      <c r="O34" s="29">
        <f t="shared" ca="1" si="3"/>
        <v>6.9933750580541913E-3</v>
      </c>
      <c r="P34" s="29">
        <f t="shared" ca="1" si="4"/>
        <v>3.1395109794642787E-3</v>
      </c>
      <c r="Q34" s="29">
        <f t="shared" ca="1" si="5"/>
        <v>8.1820653039282962E-3</v>
      </c>
      <c r="R34" s="29">
        <f t="shared" ca="1" si="6"/>
        <v>8.3486401677882512E-3</v>
      </c>
      <c r="S34" s="29">
        <f t="shared" ca="1" si="7"/>
        <v>9.6919322414245092E-3</v>
      </c>
      <c r="T34" s="29">
        <f t="shared" ca="1" si="8"/>
        <v>9.1347524896179446E-3</v>
      </c>
    </row>
    <row r="35" spans="12:20" x14ac:dyDescent="0.25">
      <c r="L35">
        <f t="shared" si="9"/>
        <v>6.2000000000000041E-2</v>
      </c>
      <c r="M35" s="29">
        <f t="shared" ca="1" si="1"/>
        <v>1.610072238162844E-3</v>
      </c>
      <c r="N35" s="29">
        <f t="shared" ca="1" si="2"/>
        <v>1.2461140518939626E-3</v>
      </c>
      <c r="O35" s="29">
        <f t="shared" ca="1" si="3"/>
        <v>1.5628642395945939E-3</v>
      </c>
      <c r="P35" s="29">
        <f t="shared" ca="1" si="4"/>
        <v>-2.1893804518513076E-3</v>
      </c>
      <c r="Q35" s="29">
        <f t="shared" ca="1" si="5"/>
        <v>1.0982378486422005E-3</v>
      </c>
      <c r="R35" s="29">
        <f t="shared" ca="1" si="6"/>
        <v>1.7089496109398568E-3</v>
      </c>
      <c r="S35" s="29">
        <f t="shared" ca="1" si="7"/>
        <v>1.0774438891267371E-3</v>
      </c>
      <c r="T35" s="29">
        <f t="shared" ca="1" si="8"/>
        <v>2.2586715631376492E-3</v>
      </c>
    </row>
    <row r="36" spans="12:20" x14ac:dyDescent="0.25">
      <c r="L36">
        <f t="shared" si="9"/>
        <v>6.4000000000000043E-2</v>
      </c>
      <c r="M36" s="29">
        <f t="shared" ca="1" si="1"/>
        <v>-3.6055174683470802E-3</v>
      </c>
      <c r="N36" s="29">
        <f t="shared" ca="1" si="2"/>
        <v>-3.0524851831287272E-3</v>
      </c>
      <c r="O36" s="29">
        <f t="shared" ca="1" si="3"/>
        <v>-4.1632222658417976E-3</v>
      </c>
      <c r="P36" s="29">
        <f t="shared" ca="1" si="4"/>
        <v>-8.7693213949791935E-3</v>
      </c>
      <c r="Q36" s="29">
        <f t="shared" ca="1" si="5"/>
        <v>-4.1326211029630274E-3</v>
      </c>
      <c r="R36" s="29">
        <f t="shared" ca="1" si="6"/>
        <v>-5.1262409678576714E-3</v>
      </c>
      <c r="S36" s="29">
        <f t="shared" ca="1" si="7"/>
        <v>-5.4685867859798282E-3</v>
      </c>
      <c r="T36" s="29">
        <f t="shared" ca="1" si="8"/>
        <v>-5.8587745959063804E-3</v>
      </c>
    </row>
    <row r="37" spans="12:20" x14ac:dyDescent="0.25">
      <c r="L37">
        <f t="shared" si="9"/>
        <v>6.6000000000000045E-2</v>
      </c>
      <c r="M37" s="29">
        <f t="shared" ca="1" si="1"/>
        <v>-8.432471958918537E-3</v>
      </c>
      <c r="N37" s="29">
        <f t="shared" ca="1" si="2"/>
        <v>-8.9283998092115069E-3</v>
      </c>
      <c r="O37" s="29">
        <f t="shared" ca="1" si="3"/>
        <v>-9.5641423536281141E-3</v>
      </c>
      <c r="P37" s="29">
        <f t="shared" ca="1" si="4"/>
        <v>-1.6497728841094014E-2</v>
      </c>
      <c r="Q37" s="29">
        <f t="shared" ca="1" si="5"/>
        <v>-1.2326450575648313E-2</v>
      </c>
      <c r="R37" s="29">
        <f t="shared" ca="1" si="6"/>
        <v>-1.2380932518489072E-2</v>
      </c>
      <c r="S37" s="29">
        <f t="shared" ca="1" si="7"/>
        <v>-1.2776379894980146E-2</v>
      </c>
      <c r="T37" s="29">
        <f t="shared" ca="1" si="8"/>
        <v>-1.3630859926649476E-2</v>
      </c>
    </row>
    <row r="38" spans="12:20" x14ac:dyDescent="0.25">
      <c r="L38">
        <f t="shared" si="9"/>
        <v>6.8000000000000047E-2</v>
      </c>
      <c r="M38" s="29">
        <f t="shared" ca="1" si="1"/>
        <v>-1.5083609232574336E-2</v>
      </c>
      <c r="N38" s="29">
        <f t="shared" ca="1" si="2"/>
        <v>-1.5203535665198078E-2</v>
      </c>
      <c r="O38" s="29">
        <f t="shared" ca="1" si="3"/>
        <v>-1.7016392575828512E-2</v>
      </c>
      <c r="P38" s="29">
        <f t="shared" ca="1" si="4"/>
        <v>-2.3260714953589418E-2</v>
      </c>
      <c r="Q38" s="29">
        <f t="shared" ca="1" si="5"/>
        <v>-1.944474685485547E-2</v>
      </c>
      <c r="R38" s="29">
        <f t="shared" ca="1" si="6"/>
        <v>-2.1112719771688888E-2</v>
      </c>
      <c r="S38" s="29">
        <f t="shared" ca="1" si="7"/>
        <v>-2.1485501426260385E-2</v>
      </c>
      <c r="T38" s="29">
        <f t="shared" ca="1" si="8"/>
        <v>-2.3412336685540897E-2</v>
      </c>
    </row>
    <row r="39" spans="12:20" x14ac:dyDescent="0.25">
      <c r="L39">
        <f t="shared" si="9"/>
        <v>7.0000000000000048E-2</v>
      </c>
      <c r="M39" s="29">
        <f t="shared" ca="1" si="1"/>
        <v>-2.080985399458795E-2</v>
      </c>
      <c r="N39" s="29">
        <f t="shared" ca="1" si="2"/>
        <v>-2.1764360453485326E-2</v>
      </c>
      <c r="O39" s="29">
        <f t="shared" ca="1" si="3"/>
        <v>-2.3531889685576478E-2</v>
      </c>
      <c r="P39" s="29">
        <f t="shared" ca="1" si="4"/>
        <v>-3.0535790613298173E-2</v>
      </c>
      <c r="Q39" s="29">
        <f t="shared" ca="1" si="5"/>
        <v>-2.7045534462781472E-2</v>
      </c>
      <c r="R39" s="29">
        <f t="shared" ca="1" si="6"/>
        <v>-2.9781348291741467E-2</v>
      </c>
      <c r="S39" s="29">
        <f t="shared" ca="1" si="7"/>
        <v>-3.0545172506150683E-2</v>
      </c>
      <c r="T39" s="29">
        <f t="shared" ca="1" si="8"/>
        <v>-3.2735062275468123E-2</v>
      </c>
    </row>
    <row r="40" spans="12:20" x14ac:dyDescent="0.25">
      <c r="L40">
        <f t="shared" si="9"/>
        <v>7.200000000000005E-2</v>
      </c>
      <c r="M40" s="29">
        <f t="shared" ca="1" si="1"/>
        <v>-2.5920098794189592E-2</v>
      </c>
      <c r="N40" s="29">
        <f t="shared" ca="1" si="2"/>
        <v>-2.8010775768409536E-2</v>
      </c>
      <c r="O40" s="29">
        <f t="shared" ca="1" si="3"/>
        <v>-3.0698848658316145E-2</v>
      </c>
      <c r="P40" s="29">
        <f t="shared" ca="1" si="4"/>
        <v>-3.7348067662628714E-2</v>
      </c>
      <c r="Q40" s="29">
        <f t="shared" ca="1" si="5"/>
        <v>-3.50857537857448E-2</v>
      </c>
      <c r="R40" s="29">
        <f t="shared" ca="1" si="6"/>
        <v>-3.7765471565965929E-2</v>
      </c>
      <c r="S40" s="29">
        <f t="shared" ca="1" si="7"/>
        <v>-4.013054129598858E-2</v>
      </c>
      <c r="T40" s="29">
        <f t="shared" ca="1" si="8"/>
        <v>-4.187332751615417E-2</v>
      </c>
    </row>
    <row r="41" spans="12:20" x14ac:dyDescent="0.25">
      <c r="L41">
        <f t="shared" si="9"/>
        <v>7.4000000000000052E-2</v>
      </c>
      <c r="M41" s="29">
        <f t="shared" ca="1" si="1"/>
        <v>-3.1713709621005427E-2</v>
      </c>
      <c r="N41" s="29">
        <f t="shared" ca="1" si="2"/>
        <v>-3.4254855318119587E-2</v>
      </c>
      <c r="O41" s="29">
        <f t="shared" ca="1" si="3"/>
        <v>-3.6415665173124376E-2</v>
      </c>
      <c r="P41" s="29">
        <f t="shared" ca="1" si="4"/>
        <v>-4.2786121148531239E-2</v>
      </c>
      <c r="Q41" s="29">
        <f t="shared" ca="1" si="5"/>
        <v>-4.1593431459969341E-2</v>
      </c>
      <c r="R41" s="29">
        <f t="shared" ca="1" si="6"/>
        <v>-4.5277602761138874E-2</v>
      </c>
      <c r="S41" s="29">
        <f t="shared" ca="1" si="7"/>
        <v>-4.7831513405865826E-2</v>
      </c>
      <c r="T41" s="29">
        <f t="shared" ca="1" si="8"/>
        <v>-4.948216197430913E-2</v>
      </c>
    </row>
    <row r="42" spans="12:20" x14ac:dyDescent="0.25">
      <c r="L42">
        <f t="shared" si="9"/>
        <v>7.6000000000000054E-2</v>
      </c>
      <c r="M42" s="29">
        <f t="shared" ca="1" si="1"/>
        <v>-3.563598112346239E-2</v>
      </c>
      <c r="N42" s="29">
        <f t="shared" ca="1" si="2"/>
        <v>-3.8384724944095408E-2</v>
      </c>
      <c r="O42" s="29">
        <f t="shared" ca="1" si="3"/>
        <v>-4.1679137894869489E-2</v>
      </c>
      <c r="P42" s="29">
        <f t="shared" ca="1" si="4"/>
        <v>-4.7950629782346044E-2</v>
      </c>
      <c r="Q42" s="29">
        <f t="shared" ca="1" si="5"/>
        <v>-4.7686944862997065E-2</v>
      </c>
      <c r="R42" s="29">
        <f t="shared" ca="1" si="6"/>
        <v>-5.0552975730029544E-2</v>
      </c>
      <c r="S42" s="29">
        <f t="shared" ca="1" si="7"/>
        <v>-5.4021962087459199E-2</v>
      </c>
      <c r="T42" s="29">
        <f t="shared" ca="1" si="8"/>
        <v>-5.7034531340701737E-2</v>
      </c>
    </row>
    <row r="43" spans="12:20" x14ac:dyDescent="0.25">
      <c r="L43">
        <f t="shared" si="9"/>
        <v>7.8000000000000055E-2</v>
      </c>
      <c r="M43" s="29">
        <f t="shared" ca="1" si="1"/>
        <v>-3.9211519598064327E-2</v>
      </c>
      <c r="N43" s="29">
        <f t="shared" ca="1" si="2"/>
        <v>-4.2575309251452281E-2</v>
      </c>
      <c r="O43" s="29">
        <f t="shared" ca="1" si="3"/>
        <v>-4.5788947478576141E-2</v>
      </c>
      <c r="P43" s="29">
        <f t="shared" ca="1" si="4"/>
        <v>-5.1477844863705907E-2</v>
      </c>
      <c r="Q43" s="29">
        <f t="shared" ca="1" si="5"/>
        <v>-5.2787037172137341E-2</v>
      </c>
      <c r="R43" s="29">
        <f t="shared" ca="1" si="6"/>
        <v>-5.5554293702507682E-2</v>
      </c>
      <c r="S43" s="29">
        <f t="shared" ca="1" si="7"/>
        <v>-6.0246818621817924E-2</v>
      </c>
      <c r="T43" s="29">
        <f t="shared" ca="1" si="8"/>
        <v>-6.3093795632167007E-2</v>
      </c>
    </row>
    <row r="44" spans="12:20" x14ac:dyDescent="0.25">
      <c r="L44">
        <f t="shared" si="9"/>
        <v>8.0000000000000057E-2</v>
      </c>
      <c r="M44" s="29">
        <f t="shared" ca="1" si="1"/>
        <v>-4.246912147566155E-2</v>
      </c>
      <c r="N44" s="29">
        <f t="shared" ca="1" si="2"/>
        <v>-4.6185636002653851E-2</v>
      </c>
      <c r="O44" s="29">
        <f t="shared" ca="1" si="3"/>
        <v>-4.8800677063461806E-2</v>
      </c>
      <c r="P44" s="29">
        <f t="shared" ca="1" si="4"/>
        <v>-5.4304228086077287E-2</v>
      </c>
      <c r="Q44" s="29">
        <f t="shared" ca="1" si="5"/>
        <v>-5.7157228325788879E-2</v>
      </c>
      <c r="R44" s="29">
        <f t="shared" ca="1" si="6"/>
        <v>-6.0004619292574064E-2</v>
      </c>
      <c r="S44" s="29">
        <f t="shared" ca="1" si="7"/>
        <v>-6.3903309576869849E-2</v>
      </c>
      <c r="T44" s="29">
        <f t="shared" ca="1" si="8"/>
        <v>-6.7173877658435507E-2</v>
      </c>
    </row>
    <row r="45" spans="12:20" x14ac:dyDescent="0.25">
      <c r="L45">
        <f t="shared" si="9"/>
        <v>8.2000000000000059E-2</v>
      </c>
      <c r="M45" s="29">
        <f t="shared" ca="1" si="1"/>
        <v>-4.4232063140026194E-2</v>
      </c>
      <c r="N45" s="29">
        <f t="shared" ca="1" si="2"/>
        <v>-4.7132024448506706E-2</v>
      </c>
      <c r="O45" s="29">
        <f t="shared" ca="1" si="3"/>
        <v>-5.0883117747606781E-2</v>
      </c>
      <c r="P45" s="29">
        <f t="shared" ca="1" si="4"/>
        <v>-5.6680273126645239E-2</v>
      </c>
      <c r="Q45" s="29">
        <f t="shared" ca="1" si="5"/>
        <v>-5.8686104626895712E-2</v>
      </c>
      <c r="R45" s="29">
        <f t="shared" ca="1" si="6"/>
        <v>-6.2775486053295637E-2</v>
      </c>
      <c r="S45" s="29">
        <f t="shared" ca="1" si="7"/>
        <v>-6.6333298656668149E-2</v>
      </c>
      <c r="T45" s="29">
        <f t="shared" ca="1" si="8"/>
        <v>-7.0375431024634907E-2</v>
      </c>
    </row>
    <row r="46" spans="12:20" x14ac:dyDescent="0.25">
      <c r="L46">
        <f t="shared" si="9"/>
        <v>8.4000000000000061E-2</v>
      </c>
      <c r="M46" s="29">
        <f t="shared" ca="1" si="1"/>
        <v>-4.4497234703957347E-2</v>
      </c>
      <c r="N46" s="29">
        <f t="shared" ca="1" si="2"/>
        <v>-4.9101515474319291E-2</v>
      </c>
      <c r="O46" s="29">
        <f t="shared" ca="1" si="3"/>
        <v>-5.2965724711728342E-2</v>
      </c>
      <c r="P46" s="29">
        <f t="shared" ca="1" si="4"/>
        <v>-5.7852390209841023E-2</v>
      </c>
      <c r="Q46" s="29">
        <f t="shared" ca="1" si="5"/>
        <v>-6.0434828818961693E-2</v>
      </c>
      <c r="R46" s="29">
        <f t="shared" ca="1" si="6"/>
        <v>-6.4108069010728408E-2</v>
      </c>
      <c r="S46" s="29">
        <f t="shared" ca="1" si="7"/>
        <v>-6.8685792767994608E-2</v>
      </c>
      <c r="T46" s="29">
        <f t="shared" ca="1" si="8"/>
        <v>-7.2160181508010041E-2</v>
      </c>
    </row>
    <row r="47" spans="12:20" x14ac:dyDescent="0.25">
      <c r="L47">
        <f t="shared" si="9"/>
        <v>8.6000000000000063E-2</v>
      </c>
      <c r="M47" s="29">
        <f t="shared" ca="1" si="1"/>
        <v>-4.545063905061307E-2</v>
      </c>
      <c r="N47" s="29">
        <f t="shared" ca="1" si="2"/>
        <v>-5.0282961738590454E-2</v>
      </c>
      <c r="O47" s="29">
        <f t="shared" ca="1" si="3"/>
        <v>-5.3980865236255442E-2</v>
      </c>
      <c r="P47" s="29">
        <f t="shared" ca="1" si="4"/>
        <v>-5.8374841542942597E-2</v>
      </c>
      <c r="Q47" s="29">
        <f t="shared" ca="1" si="5"/>
        <v>-6.1191103171302406E-2</v>
      </c>
      <c r="R47" s="29">
        <f t="shared" ca="1" si="6"/>
        <v>-6.534107613940289E-2</v>
      </c>
      <c r="S47" s="29">
        <f t="shared" ca="1" si="7"/>
        <v>-6.9901765057204288E-2</v>
      </c>
      <c r="T47" s="29">
        <f t="shared" ca="1" si="8"/>
        <v>-7.3715066641776614E-2</v>
      </c>
    </row>
    <row r="48" spans="12:20" x14ac:dyDescent="0.25">
      <c r="L48">
        <f t="shared" si="9"/>
        <v>8.8000000000000064E-2</v>
      </c>
      <c r="M48" s="29">
        <f t="shared" ca="1" si="1"/>
        <v>-4.6224588727602545E-2</v>
      </c>
      <c r="N48" s="29">
        <f t="shared" ca="1" si="2"/>
        <v>-5.0146703545101222E-2</v>
      </c>
      <c r="O48" s="29">
        <f t="shared" ca="1" si="3"/>
        <v>-5.3935415273225457E-2</v>
      </c>
      <c r="P48" s="29">
        <f t="shared" ca="1" si="4"/>
        <v>-5.8225595344733302E-2</v>
      </c>
      <c r="Q48" s="29">
        <f t="shared" ca="1" si="5"/>
        <v>-6.2049292050402154E-2</v>
      </c>
      <c r="R48" s="29">
        <f t="shared" ca="1" si="6"/>
        <v>-6.558362123934347E-2</v>
      </c>
      <c r="S48" s="29">
        <f t="shared" ca="1" si="7"/>
        <v>-7.0240831829162659E-2</v>
      </c>
      <c r="T48" s="29">
        <f t="shared" ca="1" si="8"/>
        <v>-7.3966920127811878E-2</v>
      </c>
    </row>
    <row r="49" spans="12:20" x14ac:dyDescent="0.25">
      <c r="L49">
        <f t="shared" si="9"/>
        <v>9.0000000000000066E-2</v>
      </c>
      <c r="M49" s="29">
        <f t="shared" ca="1" si="1"/>
        <v>-4.6079785508539105E-2</v>
      </c>
      <c r="N49" s="29">
        <f t="shared" ca="1" si="2"/>
        <v>-4.9633454057876399E-2</v>
      </c>
      <c r="O49" s="29">
        <f t="shared" ca="1" si="3"/>
        <v>-5.3376559274411831E-2</v>
      </c>
      <c r="P49" s="29">
        <f t="shared" ca="1" si="4"/>
        <v>-5.7302841364595992E-2</v>
      </c>
      <c r="Q49" s="29">
        <f t="shared" ca="1" si="5"/>
        <v>-6.1674434489711466E-2</v>
      </c>
      <c r="R49" s="29">
        <f t="shared" ca="1" si="6"/>
        <v>-6.6488663998817463E-2</v>
      </c>
      <c r="S49" s="29">
        <f t="shared" ca="1" si="7"/>
        <v>-7.0131200108032102E-2</v>
      </c>
      <c r="T49" s="29">
        <f t="shared" ca="1" si="8"/>
        <v>-7.4010971666119529E-2</v>
      </c>
    </row>
    <row r="50" spans="12:20" x14ac:dyDescent="0.25">
      <c r="L50">
        <f t="shared" si="9"/>
        <v>9.2000000000000068E-2</v>
      </c>
      <c r="M50" s="29">
        <f t="shared" ca="1" si="1"/>
        <v>-4.6025050177895377E-2</v>
      </c>
      <c r="N50" s="29">
        <f t="shared" ca="1" si="2"/>
        <v>-5.0319208471324574E-2</v>
      </c>
      <c r="O50" s="29">
        <f t="shared" ca="1" si="3"/>
        <v>-5.3604307332049121E-2</v>
      </c>
      <c r="P50" s="29">
        <f t="shared" ca="1" si="4"/>
        <v>-5.851216867544097E-2</v>
      </c>
      <c r="Q50" s="29">
        <f t="shared" ca="1" si="5"/>
        <v>-6.1904805336836316E-2</v>
      </c>
      <c r="R50" s="29">
        <f t="shared" ca="1" si="6"/>
        <v>-6.5785794615434073E-2</v>
      </c>
      <c r="S50" s="29">
        <f t="shared" ca="1" si="7"/>
        <v>-6.9349390681969617E-2</v>
      </c>
      <c r="T50" s="29">
        <f t="shared" ca="1" si="8"/>
        <v>-7.3461387559309893E-2</v>
      </c>
    </row>
    <row r="51" spans="12:20" x14ac:dyDescent="0.25">
      <c r="L51">
        <f t="shared" si="9"/>
        <v>9.400000000000007E-2</v>
      </c>
      <c r="M51" s="29">
        <f t="shared" ca="1" si="1"/>
        <v>-4.5691919733215632E-2</v>
      </c>
      <c r="N51" s="29">
        <f t="shared" ca="1" si="2"/>
        <v>-5.0595303633035306E-2</v>
      </c>
      <c r="O51" s="29">
        <f t="shared" ca="1" si="3"/>
        <v>-5.4123892261516086E-2</v>
      </c>
      <c r="P51" s="29">
        <f t="shared" ca="1" si="4"/>
        <v>-5.7378009599945545E-2</v>
      </c>
      <c r="Q51" s="29">
        <f t="shared" ca="1" si="5"/>
        <v>-6.2358223494628155E-2</v>
      </c>
      <c r="R51" s="29">
        <f t="shared" ca="1" si="6"/>
        <v>-6.5809695661949011E-2</v>
      </c>
      <c r="S51" s="29">
        <f t="shared" ca="1" si="7"/>
        <v>-6.9678852386893086E-2</v>
      </c>
      <c r="T51" s="29">
        <f t="shared" ca="1" si="8"/>
        <v>-7.460064169697736E-2</v>
      </c>
    </row>
    <row r="52" spans="12:20" x14ac:dyDescent="0.25">
      <c r="L52">
        <f t="shared" si="9"/>
        <v>9.6000000000000071E-2</v>
      </c>
      <c r="M52" s="29">
        <f t="shared" ca="1" si="1"/>
        <v>-4.666648006822853E-2</v>
      </c>
      <c r="N52" s="29">
        <f t="shared" ca="1" si="2"/>
        <v>-4.9403331925922556E-2</v>
      </c>
      <c r="O52" s="29">
        <f t="shared" ca="1" si="3"/>
        <v>-5.3386142828962292E-2</v>
      </c>
      <c r="P52" s="29">
        <f t="shared" ca="1" si="4"/>
        <v>-5.7646040669166392E-2</v>
      </c>
      <c r="Q52" s="29">
        <f t="shared" ca="1" si="5"/>
        <v>-6.1430691051995327E-2</v>
      </c>
      <c r="R52" s="29">
        <f t="shared" ca="1" si="6"/>
        <v>-6.6606420382998119E-2</v>
      </c>
      <c r="S52" s="29">
        <f t="shared" ca="1" si="7"/>
        <v>-7.0592604505586312E-2</v>
      </c>
      <c r="T52" s="29">
        <f t="shared" ca="1" si="8"/>
        <v>-7.4644348669496499E-2</v>
      </c>
    </row>
    <row r="53" spans="12:20" x14ac:dyDescent="0.25">
      <c r="L53">
        <f t="shared" si="9"/>
        <v>9.8000000000000073E-2</v>
      </c>
      <c r="M53" s="29">
        <f t="shared" ca="1" si="1"/>
        <v>-4.5540012222126246E-2</v>
      </c>
      <c r="N53" s="29">
        <f t="shared" ca="1" si="2"/>
        <v>-4.9549930881749159E-2</v>
      </c>
      <c r="O53" s="29">
        <f t="shared" ca="1" si="3"/>
        <v>-5.3998736739279123E-2</v>
      </c>
      <c r="P53" s="29">
        <f t="shared" ca="1" si="4"/>
        <v>-5.8576432999327417E-2</v>
      </c>
      <c r="Q53" s="29">
        <f t="shared" ca="1" si="5"/>
        <v>-6.1402164094382941E-2</v>
      </c>
      <c r="R53" s="29">
        <f t="shared" ca="1" si="6"/>
        <v>-6.5716141784748841E-2</v>
      </c>
      <c r="S53" s="29">
        <f t="shared" ca="1" si="7"/>
        <v>-7.0329050591450698E-2</v>
      </c>
      <c r="T53" s="29">
        <f t="shared" ca="1" si="8"/>
        <v>-7.4583599645615409E-2</v>
      </c>
    </row>
    <row r="54" spans="12:20" x14ac:dyDescent="0.25">
      <c r="L54">
        <f t="shared" si="9"/>
        <v>0.10000000000000007</v>
      </c>
      <c r="M54" s="29">
        <f t="shared" ca="1" si="1"/>
        <v>-4.558622769539139E-2</v>
      </c>
      <c r="N54" s="29">
        <f t="shared" ca="1" si="2"/>
        <v>-4.9695283068282164E-2</v>
      </c>
      <c r="O54" s="29">
        <f t="shared" ca="1" si="3"/>
        <v>-5.3528131209261767E-2</v>
      </c>
      <c r="P54" s="29">
        <f t="shared" ca="1" si="4"/>
        <v>-5.7429248219422864E-2</v>
      </c>
      <c r="Q54" s="29">
        <f t="shared" ca="1" si="5"/>
        <v>-6.2388427547939322E-2</v>
      </c>
      <c r="R54" s="29">
        <f t="shared" ca="1" si="6"/>
        <v>-6.5802394609468184E-2</v>
      </c>
      <c r="S54" s="29">
        <f t="shared" ca="1" si="7"/>
        <v>-7.0290831402696055E-2</v>
      </c>
      <c r="T54" s="29">
        <f t="shared" ca="1" si="8"/>
        <v>-7.4108487613728263E-2</v>
      </c>
    </row>
    <row r="55" spans="12:20" x14ac:dyDescent="0.25">
      <c r="L55">
        <f t="shared" si="9"/>
        <v>0.10200000000000008</v>
      </c>
      <c r="M55" s="29">
        <f t="shared" ca="1" si="1"/>
        <v>-4.5978109788223295E-2</v>
      </c>
      <c r="N55" s="29">
        <f t="shared" ca="1" si="2"/>
        <v>-4.9010127455760714E-2</v>
      </c>
      <c r="O55" s="29">
        <f t="shared" ca="1" si="3"/>
        <v>-5.3448771722482212E-2</v>
      </c>
      <c r="P55" s="29">
        <f t="shared" ca="1" si="4"/>
        <v>-5.6829420823192117E-2</v>
      </c>
      <c r="Q55" s="29">
        <f t="shared" ca="1" si="5"/>
        <v>-6.0765644570444879E-2</v>
      </c>
      <c r="R55" s="29">
        <f t="shared" ca="1" si="6"/>
        <v>-6.5855468430278438E-2</v>
      </c>
      <c r="S55" s="29">
        <f t="shared" ca="1" si="7"/>
        <v>-6.9955865821627453E-2</v>
      </c>
      <c r="T55" s="29">
        <f t="shared" ca="1" si="8"/>
        <v>-7.3660761131523117E-2</v>
      </c>
    </row>
    <row r="56" spans="12:20" x14ac:dyDescent="0.25">
      <c r="L56">
        <f t="shared" si="9"/>
        <v>0.10400000000000008</v>
      </c>
      <c r="M56" s="29">
        <f t="shared" ca="1" si="1"/>
        <v>-4.4709583303946067E-2</v>
      </c>
      <c r="N56" s="29">
        <f t="shared" ca="1" si="2"/>
        <v>-4.832236990047873E-2</v>
      </c>
      <c r="O56" s="29">
        <f t="shared" ca="1" si="3"/>
        <v>-5.2391252021399354E-2</v>
      </c>
      <c r="P56" s="29">
        <f t="shared" ca="1" si="4"/>
        <v>-5.5249346365553682E-2</v>
      </c>
      <c r="Q56" s="29">
        <f t="shared" ca="1" si="5"/>
        <v>-6.0569811692146279E-2</v>
      </c>
      <c r="R56" s="29">
        <f t="shared" ca="1" si="6"/>
        <v>-6.4738770434853196E-2</v>
      </c>
      <c r="S56" s="29">
        <f t="shared" ca="1" si="7"/>
        <v>-6.8225049468972468E-2</v>
      </c>
      <c r="T56" s="29">
        <f t="shared" ca="1" si="8"/>
        <v>-7.160708656061178E-2</v>
      </c>
    </row>
    <row r="57" spans="12:20" x14ac:dyDescent="0.25">
      <c r="L57">
        <f t="shared" si="9"/>
        <v>0.10600000000000008</v>
      </c>
      <c r="M57" s="29">
        <f t="shared" ca="1" si="1"/>
        <v>-4.3057771436606843E-2</v>
      </c>
      <c r="N57" s="29">
        <f t="shared" ca="1" si="2"/>
        <v>-4.6482920534391382E-2</v>
      </c>
      <c r="O57" s="29">
        <f t="shared" ca="1" si="3"/>
        <v>-5.1146161425488015E-2</v>
      </c>
      <c r="P57" s="29">
        <f t="shared" ca="1" si="4"/>
        <v>-5.2642867574383655E-2</v>
      </c>
      <c r="Q57" s="29">
        <f t="shared" ca="1" si="5"/>
        <v>-5.8106223698820833E-2</v>
      </c>
      <c r="R57" s="29">
        <f t="shared" ca="1" si="6"/>
        <v>-6.252133093392076E-2</v>
      </c>
      <c r="S57" s="29">
        <f t="shared" ca="1" si="7"/>
        <v>-6.5939330815263542E-2</v>
      </c>
      <c r="T57" s="29">
        <f t="shared" ca="1" si="8"/>
        <v>-7.0107683319228592E-2</v>
      </c>
    </row>
    <row r="58" spans="12:20" x14ac:dyDescent="0.25">
      <c r="L58">
        <f t="shared" si="9"/>
        <v>0.10800000000000008</v>
      </c>
      <c r="M58" s="29">
        <f t="shared" ca="1" si="1"/>
        <v>-4.1437692335086283E-2</v>
      </c>
      <c r="N58" s="29">
        <f t="shared" ca="1" si="2"/>
        <v>-4.5226877197647251E-2</v>
      </c>
      <c r="O58" s="29">
        <f t="shared" ca="1" si="3"/>
        <v>-4.8881673626051642E-2</v>
      </c>
      <c r="P58" s="29">
        <f t="shared" ca="1" si="4"/>
        <v>-5.0293383107963753E-2</v>
      </c>
      <c r="Q58" s="29">
        <f t="shared" ca="1" si="5"/>
        <v>-5.5480623971184903E-2</v>
      </c>
      <c r="R58" s="29">
        <f t="shared" ca="1" si="6"/>
        <v>-5.9922648349896766E-2</v>
      </c>
      <c r="S58" s="29">
        <f t="shared" ca="1" si="7"/>
        <v>-6.3325119678661029E-2</v>
      </c>
      <c r="T58" s="29">
        <f t="shared" ca="1" si="8"/>
        <v>-6.6446910902436165E-2</v>
      </c>
    </row>
    <row r="59" spans="12:20" x14ac:dyDescent="0.25">
      <c r="L59">
        <f t="shared" si="9"/>
        <v>0.11000000000000008</v>
      </c>
      <c r="M59" s="29">
        <f t="shared" ca="1" si="1"/>
        <v>-3.7788851090791969E-2</v>
      </c>
      <c r="N59" s="29">
        <f t="shared" ca="1" si="2"/>
        <v>-4.2305149953364415E-2</v>
      </c>
      <c r="O59" s="29">
        <f t="shared" ca="1" si="3"/>
        <v>-4.5433374018388727E-2</v>
      </c>
      <c r="P59" s="29">
        <f t="shared" ca="1" si="4"/>
        <v>-4.5488723746825402E-2</v>
      </c>
      <c r="Q59" s="29">
        <f t="shared" ca="1" si="5"/>
        <v>-5.2073578864695963E-2</v>
      </c>
      <c r="R59" s="29">
        <f t="shared" ca="1" si="6"/>
        <v>-5.4885592178688082E-2</v>
      </c>
      <c r="S59" s="29">
        <f t="shared" ca="1" si="7"/>
        <v>-5.7708130088324115E-2</v>
      </c>
      <c r="T59" s="29">
        <f t="shared" ca="1" si="8"/>
        <v>-6.2001055675601324E-2</v>
      </c>
    </row>
    <row r="60" spans="12:20" x14ac:dyDescent="0.25">
      <c r="L60">
        <f t="shared" si="9"/>
        <v>0.11200000000000009</v>
      </c>
      <c r="M60" s="29">
        <f t="shared" ca="1" si="1"/>
        <v>-3.514662728994334E-2</v>
      </c>
      <c r="N60" s="29">
        <f t="shared" ca="1" si="2"/>
        <v>-3.8031765452007149E-2</v>
      </c>
      <c r="O60" s="29">
        <f t="shared" ca="1" si="3"/>
        <v>-4.0025037648597786E-2</v>
      </c>
      <c r="P60" s="29">
        <f t="shared" ca="1" si="4"/>
        <v>-3.9852342767241568E-2</v>
      </c>
      <c r="Q60" s="29">
        <f t="shared" ca="1" si="5"/>
        <v>-4.6220320505480951E-2</v>
      </c>
      <c r="R60" s="29">
        <f t="shared" ca="1" si="6"/>
        <v>-4.9159169805471775E-2</v>
      </c>
      <c r="S60" s="29">
        <f t="shared" ca="1" si="7"/>
        <v>-5.1923134604768439E-2</v>
      </c>
      <c r="T60" s="29">
        <f t="shared" ca="1" si="8"/>
        <v>-5.5401260138295036E-2</v>
      </c>
    </row>
    <row r="61" spans="12:20" x14ac:dyDescent="0.25">
      <c r="L61">
        <f t="shared" si="9"/>
        <v>0.11400000000000009</v>
      </c>
      <c r="M61" s="29">
        <f t="shared" ca="1" si="1"/>
        <v>-2.9310693673643494E-2</v>
      </c>
      <c r="N61" s="29">
        <f t="shared" ca="1" si="2"/>
        <v>-3.2489007136963864E-2</v>
      </c>
      <c r="O61" s="29">
        <f t="shared" ca="1" si="3"/>
        <v>-3.4560594857207486E-2</v>
      </c>
      <c r="P61" s="29">
        <f t="shared" ca="1" si="4"/>
        <v>-3.3187284818154791E-2</v>
      </c>
      <c r="Q61" s="29">
        <f t="shared" ca="1" si="5"/>
        <v>-3.9770579752628162E-2</v>
      </c>
      <c r="R61" s="29">
        <f t="shared" ca="1" si="6"/>
        <v>-4.3024875292084944E-2</v>
      </c>
      <c r="S61" s="29">
        <f t="shared" ca="1" si="7"/>
        <v>-4.5541657540477828E-2</v>
      </c>
      <c r="T61" s="29">
        <f t="shared" ca="1" si="8"/>
        <v>-4.7908547080426238E-2</v>
      </c>
    </row>
    <row r="62" spans="12:20" x14ac:dyDescent="0.25">
      <c r="L62">
        <f t="shared" si="9"/>
        <v>0.11600000000000009</v>
      </c>
      <c r="M62" s="29">
        <f t="shared" ca="1" si="1"/>
        <v>-2.5220628017285352E-2</v>
      </c>
      <c r="N62" s="29">
        <f t="shared" ca="1" si="2"/>
        <v>-2.6827994190119681E-2</v>
      </c>
      <c r="O62" s="29">
        <f t="shared" ca="1" si="3"/>
        <v>-2.8337435583913315E-2</v>
      </c>
      <c r="P62" s="29">
        <f t="shared" ca="1" si="4"/>
        <v>-2.6638040957996219E-2</v>
      </c>
      <c r="Q62" s="29">
        <f t="shared" ca="1" si="5"/>
        <v>-3.3249278227001973E-2</v>
      </c>
      <c r="R62" s="29">
        <f t="shared" ca="1" si="6"/>
        <v>-3.570613422119525E-2</v>
      </c>
      <c r="S62" s="29">
        <f t="shared" ca="1" si="7"/>
        <v>-3.7292274001038288E-2</v>
      </c>
      <c r="T62" s="29">
        <f t="shared" ca="1" si="8"/>
        <v>-3.8989741948744834E-2</v>
      </c>
    </row>
    <row r="63" spans="12:20" x14ac:dyDescent="0.25">
      <c r="L63">
        <f t="shared" si="9"/>
        <v>0.11800000000000009</v>
      </c>
      <c r="M63" s="29">
        <f t="shared" ca="1" si="1"/>
        <v>-1.9426283510947016E-2</v>
      </c>
      <c r="N63" s="29">
        <f t="shared" ca="1" si="2"/>
        <v>-2.0746421760076544E-2</v>
      </c>
      <c r="O63" s="29">
        <f t="shared" ca="1" si="3"/>
        <v>-2.2492689554430432E-2</v>
      </c>
      <c r="P63" s="29">
        <f t="shared" ca="1" si="4"/>
        <v>-1.9197970091642126E-2</v>
      </c>
      <c r="Q63" s="29">
        <f t="shared" ca="1" si="5"/>
        <v>-2.5614674501893656E-2</v>
      </c>
      <c r="R63" s="29">
        <f t="shared" ca="1" si="6"/>
        <v>-2.7675690142138439E-2</v>
      </c>
      <c r="S63" s="29">
        <f t="shared" ca="1" si="7"/>
        <v>-2.830531089268204E-2</v>
      </c>
      <c r="T63" s="29">
        <f t="shared" ca="1" si="8"/>
        <v>-3.0199025790664549E-2</v>
      </c>
    </row>
    <row r="64" spans="12:20" x14ac:dyDescent="0.25">
      <c r="L64">
        <f t="shared" si="9"/>
        <v>0.12000000000000009</v>
      </c>
      <c r="M64" s="29">
        <f t="shared" ca="1" si="1"/>
        <v>-1.2640260304199739E-2</v>
      </c>
      <c r="N64" s="29">
        <f t="shared" ca="1" si="2"/>
        <v>-1.4403239006093931E-2</v>
      </c>
      <c r="O64" s="29">
        <f t="shared" ca="1" si="3"/>
        <v>-1.5537097660061032E-2</v>
      </c>
      <c r="P64" s="29">
        <f t="shared" ca="1" si="4"/>
        <v>-1.1686835942116813E-2</v>
      </c>
      <c r="Q64" s="29">
        <f t="shared" ca="1" si="5"/>
        <v>-1.6809443752313649E-2</v>
      </c>
      <c r="R64" s="29">
        <f t="shared" ca="1" si="6"/>
        <v>-1.9104773481356876E-2</v>
      </c>
      <c r="S64" s="29">
        <f t="shared" ca="1" si="7"/>
        <v>-2.0174907544839901E-2</v>
      </c>
      <c r="T64" s="29">
        <f t="shared" ca="1" si="8"/>
        <v>-2.1188878803414971E-2</v>
      </c>
    </row>
    <row r="65" spans="12:20" x14ac:dyDescent="0.25">
      <c r="L65">
        <f t="shared" si="9"/>
        <v>0.12200000000000009</v>
      </c>
      <c r="M65" s="29">
        <f t="shared" ca="1" si="1"/>
        <v>-7.2131318982208009E-3</v>
      </c>
      <c r="N65" s="29">
        <f t="shared" ca="1" si="2"/>
        <v>-7.9862926080849894E-3</v>
      </c>
      <c r="O65" s="29">
        <f t="shared" ca="1" si="3"/>
        <v>-8.2791724654606904E-3</v>
      </c>
      <c r="P65" s="29">
        <f t="shared" ca="1" si="4"/>
        <v>-4.1010194387976692E-3</v>
      </c>
      <c r="Q65" s="29">
        <f t="shared" ca="1" si="5"/>
        <v>-9.7970824425784829E-3</v>
      </c>
      <c r="R65" s="29">
        <f t="shared" ca="1" si="6"/>
        <v>-1.0291507610461293E-2</v>
      </c>
      <c r="S65" s="29">
        <f t="shared" ca="1" si="7"/>
        <v>-1.1243177408491867E-2</v>
      </c>
      <c r="T65" s="29">
        <f t="shared" ca="1" si="8"/>
        <v>-1.1616945621872859E-2</v>
      </c>
    </row>
    <row r="66" spans="12:20" x14ac:dyDescent="0.25">
      <c r="L66">
        <f t="shared" si="9"/>
        <v>0.1240000000000001</v>
      </c>
      <c r="M66" s="29">
        <f t="shared" ca="1" si="1"/>
        <v>-2.2308020902351835E-3</v>
      </c>
      <c r="N66" s="29">
        <f t="shared" ca="1" si="2"/>
        <v>-2.7257322212098575E-3</v>
      </c>
      <c r="O66" s="29">
        <f t="shared" ca="1" si="3"/>
        <v>-2.9709975283052871E-3</v>
      </c>
      <c r="P66" s="29">
        <f t="shared" ca="1" si="4"/>
        <v>1.5962386529874951E-3</v>
      </c>
      <c r="Q66" s="29">
        <f t="shared" ca="1" si="5"/>
        <v>-3.2583566556408801E-3</v>
      </c>
      <c r="R66" s="29">
        <f t="shared" ca="1" si="6"/>
        <v>-3.792969474964312E-3</v>
      </c>
      <c r="S66" s="29">
        <f t="shared" ca="1" si="7"/>
        <v>-3.1881340341398221E-3</v>
      </c>
      <c r="T66" s="29">
        <f t="shared" ca="1" si="8"/>
        <v>-4.0578714118866812E-3</v>
      </c>
    </row>
    <row r="67" spans="12:20" x14ac:dyDescent="0.25">
      <c r="L67">
        <f t="shared" si="9"/>
        <v>0.12600000000000008</v>
      </c>
      <c r="M67" s="29">
        <f t="shared" ca="1" si="1"/>
        <v>2.5110265017891258E-3</v>
      </c>
      <c r="N67" s="29">
        <f t="shared" ca="1" si="2"/>
        <v>2.2326664600835098E-3</v>
      </c>
      <c r="O67" s="29">
        <f t="shared" ca="1" si="3"/>
        <v>2.5171337348251174E-3</v>
      </c>
      <c r="P67" s="29">
        <f t="shared" ca="1" si="4"/>
        <v>7.3993505977939635E-3</v>
      </c>
      <c r="Q67" s="29">
        <f t="shared" ca="1" si="5"/>
        <v>3.439951751620578E-3</v>
      </c>
      <c r="R67" s="29">
        <f t="shared" ca="1" si="6"/>
        <v>2.9360179245613584E-3</v>
      </c>
      <c r="S67" s="29">
        <f t="shared" ca="1" si="7"/>
        <v>2.9035912628673994E-3</v>
      </c>
      <c r="T67" s="29">
        <f t="shared" ca="1" si="8"/>
        <v>3.5904857389080502E-3</v>
      </c>
    </row>
    <row r="68" spans="12:20" x14ac:dyDescent="0.25">
      <c r="L68">
        <f t="shared" si="9"/>
        <v>0.12800000000000009</v>
      </c>
      <c r="M68" s="29">
        <f t="shared" ca="1" si="1"/>
        <v>7.3695316615413429E-3</v>
      </c>
      <c r="N68" s="29">
        <f t="shared" ca="1" si="2"/>
        <v>7.3653695741393516E-3</v>
      </c>
      <c r="O68" s="29">
        <f t="shared" ca="1" si="3"/>
        <v>8.5514135730351357E-3</v>
      </c>
      <c r="P68" s="29">
        <f t="shared" ca="1" si="4"/>
        <v>1.3917038412503694E-2</v>
      </c>
      <c r="Q68" s="29">
        <f t="shared" ca="1" si="5"/>
        <v>9.7573786486296558E-3</v>
      </c>
      <c r="R68" s="29">
        <f t="shared" ca="1" si="6"/>
        <v>1.0964006782932616E-2</v>
      </c>
      <c r="S68" s="29">
        <f t="shared" ca="1" si="7"/>
        <v>1.1215254235793318E-2</v>
      </c>
      <c r="T68" s="29">
        <f t="shared" ca="1" si="8"/>
        <v>1.1491503028616868E-2</v>
      </c>
    </row>
    <row r="69" spans="12:20" x14ac:dyDescent="0.25">
      <c r="L69">
        <f t="shared" si="9"/>
        <v>0.13000000000000009</v>
      </c>
      <c r="M69" s="29">
        <f t="shared" ref="M69:M104" ca="1" si="10">B$4*MAGNET($I$1*$L69+B$5*PI()/180)+(RAND()-0.5)*$B$4*$B$13</f>
        <v>1.2323099124935981E-2</v>
      </c>
      <c r="N69" s="29">
        <f t="shared" ref="N69:N104" ca="1" si="11">C$4*MAGNET($I$1*$L69+C$5*PI()/180)+(RAND()-0.5)*$B$4*$B$13</f>
        <v>1.386617321046802E-2</v>
      </c>
      <c r="O69" s="29">
        <f t="shared" ref="O69:O104" ca="1" si="12">D$4*MAGNET($I$1*$L69+D$5*PI()/180)+(RAND()-0.5)*$B$4*$B$13</f>
        <v>1.5310170511023449E-2</v>
      </c>
      <c r="P69" s="29">
        <f t="shared" ref="P69:P104" ca="1" si="13">E$4*MAGNET($I$1*$L69+E$5*PI()/180)+(RAND()-0.5)*$B$4*$B$13</f>
        <v>2.1027902871435158E-2</v>
      </c>
      <c r="Q69" s="29">
        <f t="shared" ref="Q69:Q104" ca="1" si="14">F$4*MAGNET($I$1*$L69+F$5*PI()/180)+(RAND()-0.5)*$B$4*$B$13</f>
        <v>1.6947081405983781E-2</v>
      </c>
      <c r="R69" s="29">
        <f t="shared" ref="R69:R104" ca="1" si="15">G$4*MAGNET($I$1*$L69+G$5*PI()/180)+(RAND()-0.5)*$B$4*$B$13</f>
        <v>1.8387073088653973E-2</v>
      </c>
      <c r="S69" s="29">
        <f t="shared" ref="S69:S104" ca="1" si="16">H$4*MAGNET($I$1*$L69+H$5*PI()/180)+(RAND()-0.5)*$B$4*$B$13</f>
        <v>1.9179700583434277E-2</v>
      </c>
      <c r="T69" s="29">
        <f t="shared" ref="T69:T104" ca="1" si="17">I$4*MAGNET($I$1*$L69+I$5*PI()/180)+(RAND()-0.5)*$B$4*$B$13</f>
        <v>2.0240350699482785E-2</v>
      </c>
    </row>
    <row r="70" spans="12:20" x14ac:dyDescent="0.25">
      <c r="L70">
        <f t="shared" ref="L70:L104" si="18">L69+0.002</f>
        <v>0.13200000000000009</v>
      </c>
      <c r="M70" s="29">
        <f t="shared" ca="1" si="10"/>
        <v>1.8345188053195301E-2</v>
      </c>
      <c r="N70" s="29">
        <f t="shared" ca="1" si="11"/>
        <v>2.1193811156411363E-2</v>
      </c>
      <c r="O70" s="29">
        <f t="shared" ca="1" si="12"/>
        <v>2.2374926682885987E-2</v>
      </c>
      <c r="P70" s="29">
        <f t="shared" ca="1" si="13"/>
        <v>2.9113114464239937E-2</v>
      </c>
      <c r="Q70" s="29">
        <f t="shared" ca="1" si="14"/>
        <v>2.539367624341168E-2</v>
      </c>
      <c r="R70" s="29">
        <f t="shared" ca="1" si="15"/>
        <v>2.7419509010586589E-2</v>
      </c>
      <c r="S70" s="29">
        <f t="shared" ca="1" si="16"/>
        <v>2.8451994473839396E-2</v>
      </c>
      <c r="T70" s="29">
        <f t="shared" ca="1" si="17"/>
        <v>3.0522650846760459E-2</v>
      </c>
    </row>
    <row r="71" spans="12:20" x14ac:dyDescent="0.25">
      <c r="L71">
        <f t="shared" si="18"/>
        <v>0.13400000000000009</v>
      </c>
      <c r="M71" s="29">
        <f t="shared" ca="1" si="10"/>
        <v>2.4876920533077895E-2</v>
      </c>
      <c r="N71" s="29">
        <f t="shared" ca="1" si="11"/>
        <v>2.676977671479467E-2</v>
      </c>
      <c r="O71" s="29">
        <f t="shared" ca="1" si="12"/>
        <v>2.9100018953738236E-2</v>
      </c>
      <c r="P71" s="29">
        <f t="shared" ca="1" si="13"/>
        <v>3.5644495173496903E-2</v>
      </c>
      <c r="Q71" s="29">
        <f t="shared" ca="1" si="14"/>
        <v>3.3271307934536323E-2</v>
      </c>
      <c r="R71" s="29">
        <f t="shared" ca="1" si="15"/>
        <v>3.5479126520455838E-2</v>
      </c>
      <c r="S71" s="29">
        <f t="shared" ca="1" si="16"/>
        <v>3.7094408350399816E-2</v>
      </c>
      <c r="T71" s="29">
        <f t="shared" ca="1" si="17"/>
        <v>4.0273806054192993E-2</v>
      </c>
    </row>
    <row r="72" spans="12:20" x14ac:dyDescent="0.25">
      <c r="L72">
        <f t="shared" si="18"/>
        <v>0.13600000000000009</v>
      </c>
      <c r="M72" s="29">
        <f t="shared" ca="1" si="10"/>
        <v>2.9430112584620843E-2</v>
      </c>
      <c r="N72" s="29">
        <f t="shared" ca="1" si="11"/>
        <v>3.2482361468275101E-2</v>
      </c>
      <c r="O72" s="29">
        <f t="shared" ca="1" si="12"/>
        <v>3.5682948413777761E-2</v>
      </c>
      <c r="P72" s="29">
        <f t="shared" ca="1" si="13"/>
        <v>4.1551056338483591E-2</v>
      </c>
      <c r="Q72" s="29">
        <f t="shared" ca="1" si="14"/>
        <v>4.0251092384087007E-2</v>
      </c>
      <c r="R72" s="29">
        <f t="shared" ca="1" si="15"/>
        <v>4.2896645259947117E-2</v>
      </c>
      <c r="S72" s="29">
        <f t="shared" ca="1" si="16"/>
        <v>4.564393182477848E-2</v>
      </c>
      <c r="T72" s="29">
        <f t="shared" ca="1" si="17"/>
        <v>4.8301689668886386E-2</v>
      </c>
    </row>
    <row r="73" spans="12:20" x14ac:dyDescent="0.25">
      <c r="L73">
        <f t="shared" si="18"/>
        <v>0.13800000000000009</v>
      </c>
      <c r="M73" s="29">
        <f t="shared" ca="1" si="10"/>
        <v>3.4880712557376965E-2</v>
      </c>
      <c r="N73" s="29">
        <f t="shared" ca="1" si="11"/>
        <v>3.8229826907939045E-2</v>
      </c>
      <c r="O73" s="29">
        <f t="shared" ca="1" si="12"/>
        <v>4.0953533098779374E-2</v>
      </c>
      <c r="P73" s="29">
        <f t="shared" ca="1" si="13"/>
        <v>4.6560590196382333E-2</v>
      </c>
      <c r="Q73" s="29">
        <f t="shared" ca="1" si="14"/>
        <v>4.7037451093443566E-2</v>
      </c>
      <c r="R73" s="29">
        <f t="shared" ca="1" si="15"/>
        <v>4.9182590923726954E-2</v>
      </c>
      <c r="S73" s="29">
        <f t="shared" ca="1" si="16"/>
        <v>5.2935007405883083E-2</v>
      </c>
      <c r="T73" s="29">
        <f t="shared" ca="1" si="17"/>
        <v>5.5826803783762501E-2</v>
      </c>
    </row>
    <row r="74" spans="12:20" x14ac:dyDescent="0.25">
      <c r="L74">
        <f t="shared" si="18"/>
        <v>0.1400000000000001</v>
      </c>
      <c r="M74" s="29">
        <f t="shared" ca="1" si="10"/>
        <v>3.8145297395174971E-2</v>
      </c>
      <c r="N74" s="29">
        <f t="shared" ca="1" si="11"/>
        <v>4.2229942474560071E-2</v>
      </c>
      <c r="O74" s="29">
        <f t="shared" ca="1" si="12"/>
        <v>4.5469453118987237E-2</v>
      </c>
      <c r="P74" s="29">
        <f t="shared" ca="1" si="13"/>
        <v>5.0963645450887274E-2</v>
      </c>
      <c r="Q74" s="29">
        <f t="shared" ca="1" si="14"/>
        <v>5.1686070396206284E-2</v>
      </c>
      <c r="R74" s="29">
        <f t="shared" ca="1" si="15"/>
        <v>5.5698893147596261E-2</v>
      </c>
      <c r="S74" s="29">
        <f t="shared" ca="1" si="16"/>
        <v>5.8541044946005219E-2</v>
      </c>
      <c r="T74" s="29">
        <f t="shared" ca="1" si="17"/>
        <v>6.1441458712202572E-2</v>
      </c>
    </row>
    <row r="75" spans="12:20" x14ac:dyDescent="0.25">
      <c r="L75">
        <f t="shared" si="18"/>
        <v>0.1420000000000001</v>
      </c>
      <c r="M75" s="29">
        <f t="shared" ca="1" si="10"/>
        <v>4.144699137319767E-2</v>
      </c>
      <c r="N75" s="29">
        <f t="shared" ca="1" si="11"/>
        <v>4.5474711298288201E-2</v>
      </c>
      <c r="O75" s="29">
        <f t="shared" ca="1" si="12"/>
        <v>4.8881212726978367E-2</v>
      </c>
      <c r="P75" s="29">
        <f t="shared" ca="1" si="13"/>
        <v>5.421055837846965E-2</v>
      </c>
      <c r="Q75" s="29">
        <f t="shared" ca="1" si="14"/>
        <v>5.4976554992829406E-2</v>
      </c>
      <c r="R75" s="29">
        <f t="shared" ca="1" si="15"/>
        <v>5.943753949768505E-2</v>
      </c>
      <c r="S75" s="29">
        <f t="shared" ca="1" si="16"/>
        <v>6.2978703769460451E-2</v>
      </c>
      <c r="T75" s="29">
        <f t="shared" ca="1" si="17"/>
        <v>6.6458823074762322E-2</v>
      </c>
    </row>
    <row r="76" spans="12:20" x14ac:dyDescent="0.25">
      <c r="L76">
        <f t="shared" si="18"/>
        <v>0.1440000000000001</v>
      </c>
      <c r="M76" s="29">
        <f t="shared" ca="1" si="10"/>
        <v>4.3425003647844226E-2</v>
      </c>
      <c r="N76" s="29">
        <f t="shared" ca="1" si="11"/>
        <v>4.7429026699822963E-2</v>
      </c>
      <c r="O76" s="29">
        <f t="shared" ca="1" si="12"/>
        <v>5.0628909678554254E-2</v>
      </c>
      <c r="P76" s="29">
        <f t="shared" ca="1" si="13"/>
        <v>5.5626403270797958E-2</v>
      </c>
      <c r="Q76" s="29">
        <f t="shared" ca="1" si="14"/>
        <v>5.8206488648208841E-2</v>
      </c>
      <c r="R76" s="29">
        <f t="shared" ca="1" si="15"/>
        <v>6.1619904144464187E-2</v>
      </c>
      <c r="S76" s="29">
        <f t="shared" ca="1" si="16"/>
        <v>6.5626180578098769E-2</v>
      </c>
      <c r="T76" s="29">
        <f t="shared" ca="1" si="17"/>
        <v>6.9328191888100146E-2</v>
      </c>
    </row>
    <row r="77" spans="12:20" x14ac:dyDescent="0.25">
      <c r="L77">
        <f t="shared" si="18"/>
        <v>0.1460000000000001</v>
      </c>
      <c r="M77" s="29">
        <f t="shared" ca="1" si="10"/>
        <v>4.45334316481871E-2</v>
      </c>
      <c r="N77" s="29">
        <f t="shared" ca="1" si="11"/>
        <v>4.7964948787775949E-2</v>
      </c>
      <c r="O77" s="29">
        <f t="shared" ca="1" si="12"/>
        <v>5.3161802806310068E-2</v>
      </c>
      <c r="P77" s="29">
        <f t="shared" ca="1" si="13"/>
        <v>5.7431524238863017E-2</v>
      </c>
      <c r="Q77" s="29">
        <f t="shared" ca="1" si="14"/>
        <v>6.044559028990918E-2</v>
      </c>
      <c r="R77" s="29">
        <f t="shared" ca="1" si="15"/>
        <v>6.4699334421915569E-2</v>
      </c>
      <c r="S77" s="29">
        <f t="shared" ca="1" si="16"/>
        <v>6.8167590765422822E-2</v>
      </c>
      <c r="T77" s="29">
        <f t="shared" ca="1" si="17"/>
        <v>7.2261471530701962E-2</v>
      </c>
    </row>
    <row r="78" spans="12:20" x14ac:dyDescent="0.25">
      <c r="L78">
        <f t="shared" si="18"/>
        <v>0.1480000000000001</v>
      </c>
      <c r="M78" s="29">
        <f t="shared" ca="1" si="10"/>
        <v>4.5682894265576091E-2</v>
      </c>
      <c r="N78" s="29">
        <f t="shared" ca="1" si="11"/>
        <v>4.998856653789456E-2</v>
      </c>
      <c r="O78" s="29">
        <f t="shared" ca="1" si="12"/>
        <v>5.3233411526010917E-2</v>
      </c>
      <c r="P78" s="29">
        <f t="shared" ca="1" si="13"/>
        <v>5.731965702261748E-2</v>
      </c>
      <c r="Q78" s="29">
        <f t="shared" ca="1" si="14"/>
        <v>6.1633128388271376E-2</v>
      </c>
      <c r="R78" s="29">
        <f t="shared" ca="1" si="15"/>
        <v>6.5232212202777209E-2</v>
      </c>
      <c r="S78" s="29">
        <f t="shared" ca="1" si="16"/>
        <v>6.8963545375324814E-2</v>
      </c>
      <c r="T78" s="29">
        <f t="shared" ca="1" si="17"/>
        <v>7.2719108375359567E-2</v>
      </c>
    </row>
    <row r="79" spans="12:20" x14ac:dyDescent="0.25">
      <c r="L79">
        <f t="shared" si="18"/>
        <v>0.15000000000000011</v>
      </c>
      <c r="M79" s="29">
        <f t="shared" ca="1" si="10"/>
        <v>4.5635370891412216E-2</v>
      </c>
      <c r="N79" s="29">
        <f t="shared" ca="1" si="11"/>
        <v>5.0222540861046827E-2</v>
      </c>
      <c r="O79" s="29">
        <f t="shared" ca="1" si="12"/>
        <v>5.3200577442914572E-2</v>
      </c>
      <c r="P79" s="29">
        <f t="shared" ca="1" si="13"/>
        <v>5.7554211003846487E-2</v>
      </c>
      <c r="Q79" s="29">
        <f t="shared" ca="1" si="14"/>
        <v>6.1534889382097058E-2</v>
      </c>
      <c r="R79" s="29">
        <f t="shared" ca="1" si="15"/>
        <v>6.6022220486259012E-2</v>
      </c>
      <c r="S79" s="29">
        <f t="shared" ca="1" si="16"/>
        <v>7.0093558597484368E-2</v>
      </c>
      <c r="T79" s="29">
        <f t="shared" ca="1" si="17"/>
        <v>7.3973619963234385E-2</v>
      </c>
    </row>
    <row r="80" spans="12:20" x14ac:dyDescent="0.25">
      <c r="L80">
        <f t="shared" si="18"/>
        <v>0.15200000000000011</v>
      </c>
      <c r="M80" s="29">
        <f t="shared" ca="1" si="10"/>
        <v>4.6469731434825308E-2</v>
      </c>
      <c r="N80" s="29">
        <f t="shared" ca="1" si="11"/>
        <v>5.0159164262406242E-2</v>
      </c>
      <c r="O80" s="29">
        <f t="shared" ca="1" si="12"/>
        <v>5.4583263178047077E-2</v>
      </c>
      <c r="P80" s="29">
        <f t="shared" ca="1" si="13"/>
        <v>5.8152759404214494E-2</v>
      </c>
      <c r="Q80" s="29">
        <f t="shared" ca="1" si="14"/>
        <v>6.2540777918644846E-2</v>
      </c>
      <c r="R80" s="29">
        <f t="shared" ca="1" si="15"/>
        <v>6.57444916635153E-2</v>
      </c>
      <c r="S80" s="29">
        <f t="shared" ca="1" si="16"/>
        <v>7.0467181434591394E-2</v>
      </c>
      <c r="T80" s="29">
        <f t="shared" ca="1" si="17"/>
        <v>7.3785678110024705E-2</v>
      </c>
    </row>
    <row r="81" spans="12:20" x14ac:dyDescent="0.25">
      <c r="L81">
        <f t="shared" si="18"/>
        <v>0.15400000000000011</v>
      </c>
      <c r="M81" s="29">
        <f t="shared" ca="1" si="10"/>
        <v>4.5778552982316395E-2</v>
      </c>
      <c r="N81" s="29">
        <f t="shared" ca="1" si="11"/>
        <v>4.9677652884394997E-2</v>
      </c>
      <c r="O81" s="29">
        <f t="shared" ca="1" si="12"/>
        <v>5.4584635150101597E-2</v>
      </c>
      <c r="P81" s="29">
        <f t="shared" ca="1" si="13"/>
        <v>5.771340610565584E-2</v>
      </c>
      <c r="Q81" s="29">
        <f t="shared" ca="1" si="14"/>
        <v>6.2010422804888284E-2</v>
      </c>
      <c r="R81" s="29">
        <f t="shared" ca="1" si="15"/>
        <v>6.5999315979373974E-2</v>
      </c>
      <c r="S81" s="29">
        <f t="shared" ca="1" si="16"/>
        <v>6.999863158206783E-2</v>
      </c>
      <c r="T81" s="29">
        <f t="shared" ca="1" si="17"/>
        <v>7.3604353699504826E-2</v>
      </c>
    </row>
    <row r="82" spans="12:20" x14ac:dyDescent="0.25">
      <c r="L82">
        <f t="shared" si="18"/>
        <v>0.15600000000000011</v>
      </c>
      <c r="M82" s="29">
        <f t="shared" ca="1" si="10"/>
        <v>4.5659553040628943E-2</v>
      </c>
      <c r="N82" s="29">
        <f t="shared" ca="1" si="11"/>
        <v>4.959760586264781E-2</v>
      </c>
      <c r="O82" s="29">
        <f t="shared" ca="1" si="12"/>
        <v>5.3594488854139942E-2</v>
      </c>
      <c r="P82" s="29">
        <f t="shared" ca="1" si="13"/>
        <v>5.7927877462795076E-2</v>
      </c>
      <c r="Q82" s="29">
        <f t="shared" ca="1" si="14"/>
        <v>6.1734234549278157E-2</v>
      </c>
      <c r="R82" s="29">
        <f t="shared" ca="1" si="15"/>
        <v>6.5735480650105635E-2</v>
      </c>
      <c r="S82" s="29">
        <f t="shared" ca="1" si="16"/>
        <v>6.9927389444297813E-2</v>
      </c>
      <c r="T82" s="29">
        <f t="shared" ca="1" si="17"/>
        <v>7.4405044642557108E-2</v>
      </c>
    </row>
    <row r="83" spans="12:20" x14ac:dyDescent="0.25">
      <c r="L83">
        <f t="shared" si="18"/>
        <v>0.15800000000000011</v>
      </c>
      <c r="M83" s="29">
        <f t="shared" ca="1" si="10"/>
        <v>4.5698865187438112E-2</v>
      </c>
      <c r="N83" s="29">
        <f t="shared" ca="1" si="11"/>
        <v>5.0290301408954331E-2</v>
      </c>
      <c r="O83" s="29">
        <f t="shared" ca="1" si="12"/>
        <v>5.4476887985506574E-2</v>
      </c>
      <c r="P83" s="29">
        <f t="shared" ca="1" si="13"/>
        <v>5.7614943004528997E-2</v>
      </c>
      <c r="Q83" s="29">
        <f t="shared" ca="1" si="14"/>
        <v>6.204249299701068E-2</v>
      </c>
      <c r="R83" s="29">
        <f t="shared" ca="1" si="15"/>
        <v>6.5835067117142917E-2</v>
      </c>
      <c r="S83" s="29">
        <f t="shared" ca="1" si="16"/>
        <v>7.0175316928756185E-2</v>
      </c>
      <c r="T83" s="29">
        <f t="shared" ca="1" si="17"/>
        <v>7.3577672593896984E-2</v>
      </c>
    </row>
    <row r="84" spans="12:20" x14ac:dyDescent="0.25">
      <c r="L84">
        <f t="shared" si="18"/>
        <v>0.16000000000000011</v>
      </c>
      <c r="M84" s="29">
        <f t="shared" ca="1" si="10"/>
        <v>4.5821985567270934E-2</v>
      </c>
      <c r="N84" s="29">
        <f t="shared" ca="1" si="11"/>
        <v>5.0656012932771548E-2</v>
      </c>
      <c r="O84" s="29">
        <f t="shared" ca="1" si="12"/>
        <v>5.4638095455753287E-2</v>
      </c>
      <c r="P84" s="29">
        <f t="shared" ca="1" si="13"/>
        <v>5.7715348526547569E-2</v>
      </c>
      <c r="Q84" s="29">
        <f t="shared" ca="1" si="14"/>
        <v>6.2320789805409151E-2</v>
      </c>
      <c r="R84" s="29">
        <f t="shared" ca="1" si="15"/>
        <v>6.5953492519946672E-2</v>
      </c>
      <c r="S84" s="29">
        <f t="shared" ca="1" si="16"/>
        <v>7.0275541930934424E-2</v>
      </c>
      <c r="T84" s="29">
        <f t="shared" ca="1" si="17"/>
        <v>7.3453937312279075E-2</v>
      </c>
    </row>
    <row r="85" spans="12:20" x14ac:dyDescent="0.25">
      <c r="L85">
        <f t="shared" si="18"/>
        <v>0.16200000000000012</v>
      </c>
      <c r="M85" s="29">
        <f t="shared" ca="1" si="10"/>
        <v>4.63276852485087E-2</v>
      </c>
      <c r="N85" s="29">
        <f t="shared" ca="1" si="11"/>
        <v>4.9520209251981674E-2</v>
      </c>
      <c r="O85" s="29">
        <f t="shared" ca="1" si="12"/>
        <v>5.3234847003655092E-2</v>
      </c>
      <c r="P85" s="29">
        <f t="shared" ca="1" si="13"/>
        <v>5.730217275025707E-2</v>
      </c>
      <c r="Q85" s="29">
        <f t="shared" ca="1" si="14"/>
        <v>6.1665691888370469E-2</v>
      </c>
      <c r="R85" s="29">
        <f t="shared" ca="1" si="15"/>
        <v>6.6399221787277432E-2</v>
      </c>
      <c r="S85" s="29">
        <f t="shared" ca="1" si="16"/>
        <v>7.0180533030806583E-2</v>
      </c>
      <c r="T85" s="29">
        <f t="shared" ca="1" si="17"/>
        <v>7.4565113432041183E-2</v>
      </c>
    </row>
    <row r="86" spans="12:20" x14ac:dyDescent="0.25">
      <c r="L86">
        <f t="shared" si="18"/>
        <v>0.16400000000000012</v>
      </c>
      <c r="M86" s="29">
        <f t="shared" ca="1" si="10"/>
        <v>4.6316245970667858E-2</v>
      </c>
      <c r="N86" s="29">
        <f t="shared" ca="1" si="11"/>
        <v>4.9750854053395015E-2</v>
      </c>
      <c r="O86" s="29">
        <f t="shared" ca="1" si="12"/>
        <v>5.3443812673217565E-2</v>
      </c>
      <c r="P86" s="29">
        <f t="shared" ca="1" si="13"/>
        <v>5.7002796747840721E-2</v>
      </c>
      <c r="Q86" s="29">
        <f t="shared" ca="1" si="14"/>
        <v>6.2055155243044155E-2</v>
      </c>
      <c r="R86" s="29">
        <f t="shared" ca="1" si="15"/>
        <v>6.563344259291734E-2</v>
      </c>
      <c r="S86" s="29">
        <f t="shared" ca="1" si="16"/>
        <v>6.9940262502405676E-2</v>
      </c>
      <c r="T86" s="29">
        <f t="shared" ca="1" si="17"/>
        <v>7.3414810449900891E-2</v>
      </c>
    </row>
    <row r="87" spans="12:20" x14ac:dyDescent="0.25">
      <c r="L87">
        <f t="shared" si="18"/>
        <v>0.16600000000000012</v>
      </c>
      <c r="M87" s="29">
        <f t="shared" ca="1" si="10"/>
        <v>4.4343033410635703E-2</v>
      </c>
      <c r="N87" s="29">
        <f t="shared" ca="1" si="11"/>
        <v>4.9222094194924661E-2</v>
      </c>
      <c r="O87" s="29">
        <f t="shared" ca="1" si="12"/>
        <v>5.2241593843702812E-2</v>
      </c>
      <c r="P87" s="29">
        <f t="shared" ca="1" si="13"/>
        <v>5.5365084341273615E-2</v>
      </c>
      <c r="Q87" s="29">
        <f t="shared" ca="1" si="14"/>
        <v>6.0370561615056668E-2</v>
      </c>
      <c r="R87" s="29">
        <f t="shared" ca="1" si="15"/>
        <v>6.4162104006647305E-2</v>
      </c>
      <c r="S87" s="29">
        <f t="shared" ca="1" si="16"/>
        <v>6.8943941705741876E-2</v>
      </c>
      <c r="T87" s="29">
        <f t="shared" ca="1" si="17"/>
        <v>7.1756733121196625E-2</v>
      </c>
    </row>
    <row r="88" spans="12:20" x14ac:dyDescent="0.25">
      <c r="L88">
        <f t="shared" si="18"/>
        <v>0.16800000000000012</v>
      </c>
      <c r="M88" s="29">
        <f t="shared" ca="1" si="10"/>
        <v>4.3638471748316962E-2</v>
      </c>
      <c r="N88" s="29">
        <f t="shared" ca="1" si="11"/>
        <v>4.6942885042598435E-2</v>
      </c>
      <c r="O88" s="29">
        <f t="shared" ca="1" si="12"/>
        <v>5.0967666386361479E-2</v>
      </c>
      <c r="P88" s="29">
        <f t="shared" ca="1" si="13"/>
        <v>5.3793361073600707E-2</v>
      </c>
      <c r="Q88" s="29">
        <f t="shared" ca="1" si="14"/>
        <v>5.8386192039586615E-2</v>
      </c>
      <c r="R88" s="29">
        <f t="shared" ca="1" si="15"/>
        <v>6.2252402750255259E-2</v>
      </c>
      <c r="S88" s="29">
        <f t="shared" ca="1" si="16"/>
        <v>6.6446098607908996E-2</v>
      </c>
      <c r="T88" s="29">
        <f t="shared" ca="1" si="17"/>
        <v>7.0026889760568492E-2</v>
      </c>
    </row>
    <row r="89" spans="12:20" x14ac:dyDescent="0.25">
      <c r="L89">
        <f t="shared" si="18"/>
        <v>0.17000000000000012</v>
      </c>
      <c r="M89" s="29">
        <f t="shared" ca="1" si="10"/>
        <v>4.2160716347596133E-2</v>
      </c>
      <c r="N89" s="29">
        <f t="shared" ca="1" si="11"/>
        <v>4.5988515904983145E-2</v>
      </c>
      <c r="O89" s="29">
        <f t="shared" ca="1" si="12"/>
        <v>4.9869822136268206E-2</v>
      </c>
      <c r="P89" s="29">
        <f t="shared" ca="1" si="13"/>
        <v>5.0333173590720703E-2</v>
      </c>
      <c r="Q89" s="29">
        <f t="shared" ca="1" si="14"/>
        <v>5.598884358817377E-2</v>
      </c>
      <c r="R89" s="29">
        <f t="shared" ca="1" si="15"/>
        <v>6.0326051196295992E-2</v>
      </c>
      <c r="S89" s="29">
        <f t="shared" ca="1" si="16"/>
        <v>6.400883867158727E-2</v>
      </c>
      <c r="T89" s="29">
        <f t="shared" ca="1" si="17"/>
        <v>6.7086149975526407E-2</v>
      </c>
    </row>
    <row r="90" spans="12:20" x14ac:dyDescent="0.25">
      <c r="L90">
        <f t="shared" si="18"/>
        <v>0.17200000000000013</v>
      </c>
      <c r="M90" s="29">
        <f t="shared" ca="1" si="10"/>
        <v>3.867693522437804E-2</v>
      </c>
      <c r="N90" s="29">
        <f t="shared" ca="1" si="11"/>
        <v>4.2436170877085913E-2</v>
      </c>
      <c r="O90" s="29">
        <f t="shared" ca="1" si="12"/>
        <v>4.5741684358982307E-2</v>
      </c>
      <c r="P90" s="29">
        <f t="shared" ca="1" si="13"/>
        <v>4.573230938011718E-2</v>
      </c>
      <c r="Q90" s="29">
        <f t="shared" ca="1" si="14"/>
        <v>5.2384514429426959E-2</v>
      </c>
      <c r="R90" s="29">
        <f t="shared" ca="1" si="15"/>
        <v>5.5586082866360666E-2</v>
      </c>
      <c r="S90" s="29">
        <f t="shared" ca="1" si="16"/>
        <v>5.9815471561655606E-2</v>
      </c>
      <c r="T90" s="29">
        <f t="shared" ca="1" si="17"/>
        <v>6.3301349703963478E-2</v>
      </c>
    </row>
    <row r="91" spans="12:20" x14ac:dyDescent="0.25">
      <c r="L91">
        <f t="shared" si="18"/>
        <v>0.17400000000000013</v>
      </c>
      <c r="M91" s="29">
        <f t="shared" ca="1" si="10"/>
        <v>3.5256929188584016E-2</v>
      </c>
      <c r="N91" s="29">
        <f t="shared" ca="1" si="11"/>
        <v>3.8277171734383851E-2</v>
      </c>
      <c r="O91" s="29">
        <f t="shared" ca="1" si="12"/>
        <v>4.2187387930807056E-2</v>
      </c>
      <c r="P91" s="29">
        <f t="shared" ca="1" si="13"/>
        <v>4.0557530952719134E-2</v>
      </c>
      <c r="Q91" s="29">
        <f t="shared" ca="1" si="14"/>
        <v>4.8387455636656862E-2</v>
      </c>
      <c r="R91" s="29">
        <f t="shared" ca="1" si="15"/>
        <v>5.0854125685379697E-2</v>
      </c>
      <c r="S91" s="29">
        <f t="shared" ca="1" si="16"/>
        <v>5.3560370778374743E-2</v>
      </c>
      <c r="T91" s="29">
        <f t="shared" ca="1" si="17"/>
        <v>5.7087096006452349E-2</v>
      </c>
    </row>
    <row r="92" spans="12:20" x14ac:dyDescent="0.25">
      <c r="L92">
        <f t="shared" si="18"/>
        <v>0.17600000000000013</v>
      </c>
      <c r="M92" s="29">
        <f t="shared" ca="1" si="10"/>
        <v>3.0490353045432017E-2</v>
      </c>
      <c r="N92" s="29">
        <f t="shared" ca="1" si="11"/>
        <v>3.3775828758286414E-2</v>
      </c>
      <c r="O92" s="29">
        <f t="shared" ca="1" si="12"/>
        <v>3.6704827458163829E-2</v>
      </c>
      <c r="P92" s="29">
        <f t="shared" ca="1" si="13"/>
        <v>3.487503603454787E-2</v>
      </c>
      <c r="Q92" s="29">
        <f t="shared" ca="1" si="14"/>
        <v>4.1846070089678486E-2</v>
      </c>
      <c r="R92" s="29">
        <f t="shared" ca="1" si="15"/>
        <v>4.4152709571993104E-2</v>
      </c>
      <c r="S92" s="29">
        <f t="shared" ca="1" si="16"/>
        <v>4.8108220337648173E-2</v>
      </c>
      <c r="T92" s="29">
        <f t="shared" ca="1" si="17"/>
        <v>4.9475841538642235E-2</v>
      </c>
    </row>
    <row r="93" spans="12:20" x14ac:dyDescent="0.25">
      <c r="L93">
        <f t="shared" si="18"/>
        <v>0.17800000000000013</v>
      </c>
      <c r="M93" s="29">
        <f t="shared" ca="1" si="10"/>
        <v>2.6156435488153558E-2</v>
      </c>
      <c r="N93" s="29">
        <f t="shared" ca="1" si="11"/>
        <v>2.8183443644726833E-2</v>
      </c>
      <c r="O93" s="29">
        <f t="shared" ca="1" si="12"/>
        <v>3.0939359739556801E-2</v>
      </c>
      <c r="P93" s="29">
        <f t="shared" ca="1" si="13"/>
        <v>2.7514386182273788E-2</v>
      </c>
      <c r="Q93" s="29">
        <f t="shared" ca="1" si="14"/>
        <v>3.4970002775671742E-2</v>
      </c>
      <c r="R93" s="29">
        <f t="shared" ca="1" si="15"/>
        <v>3.6680687562631098E-2</v>
      </c>
      <c r="S93" s="29">
        <f t="shared" ca="1" si="16"/>
        <v>3.940917413455295E-2</v>
      </c>
      <c r="T93" s="29">
        <f t="shared" ca="1" si="17"/>
        <v>4.1972555150846774E-2</v>
      </c>
    </row>
    <row r="94" spans="12:20" x14ac:dyDescent="0.25">
      <c r="L94">
        <f t="shared" si="18"/>
        <v>0.18000000000000013</v>
      </c>
      <c r="M94" s="29">
        <f t="shared" ca="1" si="10"/>
        <v>2.0148554066921599E-2</v>
      </c>
      <c r="N94" s="29">
        <f t="shared" ca="1" si="11"/>
        <v>2.1820624999556691E-2</v>
      </c>
      <c r="O94" s="29">
        <f t="shared" ca="1" si="12"/>
        <v>2.3589765202708921E-2</v>
      </c>
      <c r="P94" s="29">
        <f t="shared" ca="1" si="13"/>
        <v>2.0652984223532938E-2</v>
      </c>
      <c r="Q94" s="29">
        <f t="shared" ca="1" si="14"/>
        <v>2.771255051022764E-2</v>
      </c>
      <c r="R94" s="29">
        <f t="shared" ca="1" si="15"/>
        <v>2.870109181810199E-2</v>
      </c>
      <c r="S94" s="29">
        <f t="shared" ca="1" si="16"/>
        <v>3.0481970132507894E-2</v>
      </c>
      <c r="T94" s="29">
        <f t="shared" ca="1" si="17"/>
        <v>3.2871996286512051E-2</v>
      </c>
    </row>
    <row r="95" spans="12:20" x14ac:dyDescent="0.25">
      <c r="L95">
        <f t="shared" si="18"/>
        <v>0.18200000000000013</v>
      </c>
      <c r="M95" s="29">
        <f t="shared" ca="1" si="10"/>
        <v>1.3846963526313261E-2</v>
      </c>
      <c r="N95" s="29">
        <f t="shared" ca="1" si="11"/>
        <v>1.5924893886643261E-2</v>
      </c>
      <c r="O95" s="29">
        <f t="shared" ca="1" si="12"/>
        <v>1.6576032367976515E-2</v>
      </c>
      <c r="P95" s="29">
        <f t="shared" ca="1" si="13"/>
        <v>1.244010267505428E-2</v>
      </c>
      <c r="Q95" s="29">
        <f t="shared" ca="1" si="14"/>
        <v>1.9818772137977354E-2</v>
      </c>
      <c r="R95" s="29">
        <f t="shared" ca="1" si="15"/>
        <v>2.1348413840385827E-2</v>
      </c>
      <c r="S95" s="29">
        <f t="shared" ca="1" si="16"/>
        <v>2.182285758001647E-2</v>
      </c>
      <c r="T95" s="29">
        <f t="shared" ca="1" si="17"/>
        <v>2.341005188857825E-2</v>
      </c>
    </row>
    <row r="96" spans="12:20" x14ac:dyDescent="0.25">
      <c r="L96">
        <f t="shared" si="18"/>
        <v>0.18400000000000014</v>
      </c>
      <c r="M96" s="29">
        <f t="shared" ca="1" si="10"/>
        <v>8.8433613493624341E-3</v>
      </c>
      <c r="N96" s="29">
        <f t="shared" ca="1" si="11"/>
        <v>9.0342406275765036E-3</v>
      </c>
      <c r="O96" s="29">
        <f t="shared" ca="1" si="12"/>
        <v>1.0681820529496925E-2</v>
      </c>
      <c r="P96" s="29">
        <f t="shared" ca="1" si="13"/>
        <v>6.7041999296330815E-3</v>
      </c>
      <c r="Q96" s="29">
        <f t="shared" ca="1" si="14"/>
        <v>1.1650688941662012E-2</v>
      </c>
      <c r="R96" s="29">
        <f t="shared" ca="1" si="15"/>
        <v>1.2554575436776521E-2</v>
      </c>
      <c r="S96" s="29">
        <f t="shared" ca="1" si="16"/>
        <v>1.3481749892748187E-2</v>
      </c>
      <c r="T96" s="29">
        <f t="shared" ca="1" si="17"/>
        <v>1.440859874698068E-2</v>
      </c>
    </row>
    <row r="97" spans="12:20" x14ac:dyDescent="0.25">
      <c r="L97">
        <f t="shared" si="18"/>
        <v>0.18600000000000014</v>
      </c>
      <c r="M97" s="29">
        <f t="shared" ca="1" si="10"/>
        <v>3.5734680840851922E-3</v>
      </c>
      <c r="N97" s="29">
        <f t="shared" ca="1" si="11"/>
        <v>3.5850378777499254E-3</v>
      </c>
      <c r="O97" s="29">
        <f t="shared" ca="1" si="12"/>
        <v>4.3595936601756079E-3</v>
      </c>
      <c r="P97" s="29">
        <f t="shared" ca="1" si="13"/>
        <v>-3.8274150171349418E-4</v>
      </c>
      <c r="Q97" s="29">
        <f t="shared" ca="1" si="14"/>
        <v>4.0489095736680938E-3</v>
      </c>
      <c r="R97" s="29">
        <f t="shared" ca="1" si="15"/>
        <v>5.4268945492014541E-3</v>
      </c>
      <c r="S97" s="29">
        <f t="shared" ca="1" si="16"/>
        <v>5.2127942167593663E-3</v>
      </c>
      <c r="T97" s="29">
        <f t="shared" ca="1" si="17"/>
        <v>5.5525079042174769E-3</v>
      </c>
    </row>
    <row r="98" spans="12:20" x14ac:dyDescent="0.25">
      <c r="L98">
        <f t="shared" si="18"/>
        <v>0.18800000000000014</v>
      </c>
      <c r="M98" s="29">
        <f t="shared" ca="1" si="10"/>
        <v>-1.0126483177264067E-3</v>
      </c>
      <c r="N98" s="29">
        <f t="shared" ca="1" si="11"/>
        <v>-9.6813579018226268E-4</v>
      </c>
      <c r="O98" s="29">
        <f t="shared" ca="1" si="12"/>
        <v>-6.4643182013130092E-4</v>
      </c>
      <c r="P98" s="29">
        <f t="shared" ca="1" si="13"/>
        <v>-4.9950471871743167E-3</v>
      </c>
      <c r="Q98" s="29">
        <f t="shared" ca="1" si="14"/>
        <v>-2.0747211452848235E-3</v>
      </c>
      <c r="R98" s="29">
        <f t="shared" ca="1" si="15"/>
        <v>-1.9621923720759492E-3</v>
      </c>
      <c r="S98" s="29">
        <f t="shared" ca="1" si="16"/>
        <v>-1.1739093032443713E-3</v>
      </c>
      <c r="T98" s="29">
        <f t="shared" ca="1" si="17"/>
        <v>-1.722512824543969E-3</v>
      </c>
    </row>
    <row r="99" spans="12:20" x14ac:dyDescent="0.25">
      <c r="L99">
        <f t="shared" si="18"/>
        <v>0.19000000000000014</v>
      </c>
      <c r="M99" s="29">
        <f t="shared" ca="1" si="10"/>
        <v>-6.1952785085476391E-3</v>
      </c>
      <c r="N99" s="29">
        <f t="shared" ca="1" si="11"/>
        <v>-6.7744532568052712E-3</v>
      </c>
      <c r="O99" s="29">
        <f t="shared" ca="1" si="12"/>
        <v>-7.4104785372286043E-3</v>
      </c>
      <c r="P99" s="29">
        <f t="shared" ca="1" si="13"/>
        <v>-1.2273550721977288E-2</v>
      </c>
      <c r="Q99" s="29">
        <f t="shared" ca="1" si="14"/>
        <v>-8.679907632567015E-3</v>
      </c>
      <c r="R99" s="29">
        <f t="shared" ca="1" si="15"/>
        <v>-8.4766214386051905E-3</v>
      </c>
      <c r="S99" s="29">
        <f t="shared" ca="1" si="16"/>
        <v>-8.8944410428777095E-3</v>
      </c>
      <c r="T99" s="29">
        <f t="shared" ca="1" si="17"/>
        <v>-9.2630106997314901E-3</v>
      </c>
    </row>
    <row r="100" spans="12:20" x14ac:dyDescent="0.25">
      <c r="L100">
        <f t="shared" si="18"/>
        <v>0.19200000000000014</v>
      </c>
      <c r="M100" s="29">
        <f t="shared" ca="1" si="10"/>
        <v>-1.0905132202242304E-2</v>
      </c>
      <c r="N100" s="29">
        <f t="shared" ca="1" si="11"/>
        <v>-1.2935593102105335E-2</v>
      </c>
      <c r="O100" s="29">
        <f t="shared" ca="1" si="12"/>
        <v>-1.2912928073719675E-2</v>
      </c>
      <c r="P100" s="29">
        <f t="shared" ca="1" si="13"/>
        <v>-1.9837712935374514E-2</v>
      </c>
      <c r="Q100" s="29">
        <f t="shared" ca="1" si="14"/>
        <v>-1.5468291330382399E-2</v>
      </c>
      <c r="R100" s="29">
        <f t="shared" ca="1" si="15"/>
        <v>-1.6669119268139802E-2</v>
      </c>
      <c r="S100" s="29">
        <f t="shared" ca="1" si="16"/>
        <v>-1.7086124132325773E-2</v>
      </c>
      <c r="T100" s="29">
        <f t="shared" ca="1" si="17"/>
        <v>-1.8473147804719165E-2</v>
      </c>
    </row>
    <row r="101" spans="12:20" x14ac:dyDescent="0.25">
      <c r="L101">
        <f t="shared" si="18"/>
        <v>0.19400000000000014</v>
      </c>
      <c r="M101" s="29">
        <f t="shared" ca="1" si="10"/>
        <v>-1.6878008995978723E-2</v>
      </c>
      <c r="N101" s="29">
        <f t="shared" ca="1" si="11"/>
        <v>-1.9553778834078155E-2</v>
      </c>
      <c r="O101" s="29">
        <f t="shared" ca="1" si="12"/>
        <v>-2.0709159508274084E-2</v>
      </c>
      <c r="P101" s="29">
        <f t="shared" ca="1" si="13"/>
        <v>-2.7528235771826472E-2</v>
      </c>
      <c r="Q101" s="29">
        <f t="shared" ca="1" si="14"/>
        <v>-2.3696559920652952E-2</v>
      </c>
      <c r="R101" s="29">
        <f t="shared" ca="1" si="15"/>
        <v>-2.4492782763604334E-2</v>
      </c>
      <c r="S101" s="29">
        <f t="shared" ca="1" si="16"/>
        <v>-2.7019246718700093E-2</v>
      </c>
      <c r="T101" s="29">
        <f t="shared" ca="1" si="17"/>
        <v>-2.7609641878607798E-2</v>
      </c>
    </row>
    <row r="102" spans="12:20" x14ac:dyDescent="0.25">
      <c r="L102">
        <f t="shared" si="18"/>
        <v>0.19600000000000015</v>
      </c>
      <c r="M102" s="29">
        <f t="shared" ca="1" si="10"/>
        <v>-2.3104734924120265E-2</v>
      </c>
      <c r="N102" s="29">
        <f t="shared" ca="1" si="11"/>
        <v>-2.4688930412879909E-2</v>
      </c>
      <c r="O102" s="29">
        <f t="shared" ca="1" si="12"/>
        <v>-2.7940944339194595E-2</v>
      </c>
      <c r="P102" s="29">
        <f t="shared" ca="1" si="13"/>
        <v>-3.41684818588407E-2</v>
      </c>
      <c r="Q102" s="29">
        <f t="shared" ca="1" si="14"/>
        <v>-3.0829215328491585E-2</v>
      </c>
      <c r="R102" s="29">
        <f t="shared" ca="1" si="15"/>
        <v>-3.2779037319748794E-2</v>
      </c>
      <c r="S102" s="29">
        <f t="shared" ca="1" si="16"/>
        <v>-3.4881077761343048E-2</v>
      </c>
      <c r="T102" s="29">
        <f t="shared" ca="1" si="17"/>
        <v>-3.7744776179060677E-2</v>
      </c>
    </row>
    <row r="103" spans="12:20" x14ac:dyDescent="0.25">
      <c r="L103">
        <f t="shared" si="18"/>
        <v>0.19800000000000015</v>
      </c>
      <c r="M103" s="29">
        <f t="shared" ca="1" si="10"/>
        <v>-2.8416542759773206E-2</v>
      </c>
      <c r="N103" s="29">
        <f t="shared" ca="1" si="11"/>
        <v>-3.0999178655065063E-2</v>
      </c>
      <c r="O103" s="29">
        <f t="shared" ca="1" si="12"/>
        <v>-3.4138265486577044E-2</v>
      </c>
      <c r="P103" s="29">
        <f t="shared" ca="1" si="13"/>
        <v>-4.1085510437974218E-2</v>
      </c>
      <c r="Q103" s="29">
        <f t="shared" ca="1" si="14"/>
        <v>-3.8607779671114152E-2</v>
      </c>
      <c r="R103" s="29">
        <f t="shared" ca="1" si="15"/>
        <v>-4.1344676564902538E-2</v>
      </c>
      <c r="S103" s="29">
        <f t="shared" ca="1" si="16"/>
        <v>-4.3046701364366904E-2</v>
      </c>
      <c r="T103" s="29">
        <f t="shared" ca="1" si="17"/>
        <v>-4.6160683031914097E-2</v>
      </c>
    </row>
    <row r="104" spans="12:20" x14ac:dyDescent="0.25">
      <c r="L104">
        <f t="shared" si="18"/>
        <v>0.20000000000000015</v>
      </c>
      <c r="M104" s="29">
        <f t="shared" ca="1" si="10"/>
        <v>-3.3317913098780474E-2</v>
      </c>
      <c r="N104" s="29">
        <f t="shared" ca="1" si="11"/>
        <v>-3.6106056019920021E-2</v>
      </c>
      <c r="O104" s="29">
        <f t="shared" ca="1" si="12"/>
        <v>-3.9439181405147801E-2</v>
      </c>
      <c r="P104" s="29">
        <f t="shared" ca="1" si="13"/>
        <v>-4.6024628600122269E-2</v>
      </c>
      <c r="Q104" s="29">
        <f t="shared" ca="1" si="14"/>
        <v>-4.5744990114107896E-2</v>
      </c>
      <c r="R104" s="29">
        <f t="shared" ca="1" si="15"/>
        <v>-4.7466208544014496E-2</v>
      </c>
      <c r="S104" s="29">
        <f t="shared" ca="1" si="16"/>
        <v>-5.0426721921160482E-2</v>
      </c>
      <c r="T104" s="29">
        <f t="shared" ca="1" si="17"/>
        <v>-5.4430601518442638E-2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C4:H74"/>
  <sheetViews>
    <sheetView workbookViewId="0">
      <selection activeCell="D7" sqref="D7"/>
    </sheetView>
  </sheetViews>
  <sheetFormatPr defaultRowHeight="15" x14ac:dyDescent="0.25"/>
  <cols>
    <col min="4" max="4" width="7.140625" customWidth="1"/>
  </cols>
  <sheetData>
    <row r="4" spans="3:8" x14ac:dyDescent="0.25">
      <c r="C4" s="15"/>
      <c r="D4" s="47"/>
      <c r="G4" s="23" t="s">
        <v>16</v>
      </c>
      <c r="H4" s="26">
        <f>Lind!$D$4/2</f>
        <v>2</v>
      </c>
    </row>
    <row r="5" spans="3:8" ht="18" x14ac:dyDescent="0.35">
      <c r="C5" t="s">
        <v>29</v>
      </c>
      <c r="D5" s="29">
        <f>2*PI()*Lind!I4*Lind!D6/60</f>
        <v>7.5398223686155035</v>
      </c>
      <c r="E5" t="s">
        <v>30</v>
      </c>
      <c r="G5" s="15" t="s">
        <v>18</v>
      </c>
      <c r="H5" s="26">
        <f>Lind!$D$7/Lind!$D$4/Lind!$D$5</f>
        <v>1.9</v>
      </c>
    </row>
    <row r="6" spans="3:8" x14ac:dyDescent="0.25">
      <c r="C6" t="s">
        <v>31</v>
      </c>
      <c r="D6" s="29">
        <f>D5*D4</f>
        <v>0</v>
      </c>
      <c r="E6" t="s">
        <v>32</v>
      </c>
      <c r="G6" t="s">
        <v>20</v>
      </c>
      <c r="H6" s="28">
        <f>Lind!$D$9/Lind!$AG$9*H4*360</f>
        <v>24</v>
      </c>
    </row>
    <row r="7" spans="3:8" ht="18" x14ac:dyDescent="0.35">
      <c r="C7" t="s">
        <v>33</v>
      </c>
      <c r="D7" s="29">
        <f>D6*Lind!I5</f>
        <v>0</v>
      </c>
      <c r="E7" t="s">
        <v>34</v>
      </c>
    </row>
    <row r="10" spans="3:8" x14ac:dyDescent="0.25">
      <c r="C10" t="s">
        <v>70</v>
      </c>
      <c r="D10" s="48" t="s">
        <v>68</v>
      </c>
      <c r="E10" s="48" t="s">
        <v>69</v>
      </c>
    </row>
    <row r="11" spans="3:8" x14ac:dyDescent="0.25">
      <c r="C11">
        <v>0</v>
      </c>
      <c r="D11" s="48">
        <f>SIN(C11)</f>
        <v>0</v>
      </c>
      <c r="E11" s="48">
        <f>MAGNET(C11)</f>
        <v>0</v>
      </c>
    </row>
    <row r="12" spans="3:8" x14ac:dyDescent="0.25">
      <c r="C12">
        <f>C11+0.1</f>
        <v>0.1</v>
      </c>
      <c r="D12" s="48">
        <f t="shared" ref="D12:D74" si="0">SIN(C12)</f>
        <v>9.9833416646828155E-2</v>
      </c>
      <c r="E12" s="48">
        <f>MAGNET(C12)</f>
        <v>0.10013635188783612</v>
      </c>
    </row>
    <row r="13" spans="3:8" x14ac:dyDescent="0.25">
      <c r="C13">
        <f t="shared" ref="C13:C74" si="1">C12+0.1</f>
        <v>0.2</v>
      </c>
      <c r="D13" s="48">
        <f t="shared" si="0"/>
        <v>0.19866933079506122</v>
      </c>
      <c r="E13" s="48">
        <f t="shared" ref="E13:E74" si="2">MAGNET(C13)</f>
        <v>0.21777315760308849</v>
      </c>
    </row>
    <row r="14" spans="3:8" x14ac:dyDescent="0.25">
      <c r="C14">
        <f t="shared" si="1"/>
        <v>0.30000000000000004</v>
      </c>
      <c r="D14" s="48">
        <f t="shared" si="0"/>
        <v>0.2955202066613396</v>
      </c>
      <c r="E14" s="48">
        <f t="shared" si="2"/>
        <v>0.34429146548449913</v>
      </c>
    </row>
    <row r="15" spans="3:8" x14ac:dyDescent="0.25">
      <c r="C15">
        <f t="shared" si="1"/>
        <v>0.4</v>
      </c>
      <c r="D15" s="48">
        <f t="shared" si="0"/>
        <v>0.38941834230865052</v>
      </c>
      <c r="E15" s="48">
        <f t="shared" si="2"/>
        <v>0.4714546309256149</v>
      </c>
    </row>
    <row r="16" spans="3:8" x14ac:dyDescent="0.25">
      <c r="C16">
        <f t="shared" si="1"/>
        <v>0.5</v>
      </c>
      <c r="D16" s="48">
        <f t="shared" si="0"/>
        <v>0.47942553860420301</v>
      </c>
      <c r="E16" s="48">
        <f t="shared" si="2"/>
        <v>0.59202188504875009</v>
      </c>
    </row>
    <row r="17" spans="3:5" x14ac:dyDescent="0.25">
      <c r="C17">
        <f t="shared" si="1"/>
        <v>0.6</v>
      </c>
      <c r="D17" s="48">
        <f t="shared" si="0"/>
        <v>0.56464247339503537</v>
      </c>
      <c r="E17" s="48">
        <f t="shared" si="2"/>
        <v>0.70023094588541146</v>
      </c>
    </row>
    <row r="18" spans="3:5" x14ac:dyDescent="0.25">
      <c r="C18">
        <f t="shared" si="1"/>
        <v>0.7</v>
      </c>
      <c r="D18" s="48">
        <f t="shared" si="0"/>
        <v>0.64421768723769102</v>
      </c>
      <c r="E18" s="48">
        <f t="shared" si="2"/>
        <v>0.79211310738713459</v>
      </c>
    </row>
    <row r="19" spans="3:5" x14ac:dyDescent="0.25">
      <c r="C19">
        <f t="shared" si="1"/>
        <v>0.79999999999999993</v>
      </c>
      <c r="D19" s="48">
        <f t="shared" si="0"/>
        <v>0.71735609089952268</v>
      </c>
      <c r="E19" s="48">
        <f t="shared" si="2"/>
        <v>0.86562061925984812</v>
      </c>
    </row>
    <row r="20" spans="3:5" x14ac:dyDescent="0.25">
      <c r="C20">
        <f t="shared" si="1"/>
        <v>0.89999999999999991</v>
      </c>
      <c r="D20" s="48">
        <f t="shared" si="0"/>
        <v>0.7833269096274833</v>
      </c>
      <c r="E20" s="48">
        <f t="shared" si="2"/>
        <v>0.92056403423078292</v>
      </c>
    </row>
    <row r="21" spans="3:5" x14ac:dyDescent="0.25">
      <c r="C21">
        <f t="shared" si="1"/>
        <v>0.99999999999999989</v>
      </c>
      <c r="D21" s="48">
        <f t="shared" si="0"/>
        <v>0.84147098480789639</v>
      </c>
      <c r="E21" s="48">
        <f t="shared" si="2"/>
        <v>0.95837490951737547</v>
      </c>
    </row>
    <row r="22" spans="3:5" x14ac:dyDescent="0.25">
      <c r="C22">
        <f t="shared" si="1"/>
        <v>1.0999999999999999</v>
      </c>
      <c r="D22" s="48">
        <f t="shared" si="0"/>
        <v>0.89120736006143531</v>
      </c>
      <c r="E22" s="48">
        <f t="shared" si="2"/>
        <v>0.98172519466987596</v>
      </c>
    </row>
    <row r="23" spans="3:5" x14ac:dyDescent="0.25">
      <c r="C23">
        <f t="shared" si="1"/>
        <v>1.2</v>
      </c>
      <c r="D23" s="48">
        <f t="shared" si="0"/>
        <v>0.93203908596722629</v>
      </c>
      <c r="E23" s="48">
        <f t="shared" si="2"/>
        <v>0.99404738050154895</v>
      </c>
    </row>
    <row r="24" spans="3:5" x14ac:dyDescent="0.25">
      <c r="C24">
        <f t="shared" si="1"/>
        <v>1.3</v>
      </c>
      <c r="D24" s="48">
        <f t="shared" si="0"/>
        <v>0.96355818541719296</v>
      </c>
      <c r="E24" s="48">
        <f t="shared" si="2"/>
        <v>0.99900788761072967</v>
      </c>
    </row>
    <row r="25" spans="3:5" x14ac:dyDescent="0.25">
      <c r="C25">
        <f t="shared" si="1"/>
        <v>1.4000000000000001</v>
      </c>
      <c r="D25" s="48">
        <f t="shared" si="0"/>
        <v>0.98544972998846025</v>
      </c>
      <c r="E25" s="48">
        <f t="shared" si="2"/>
        <v>0.99998950572764267</v>
      </c>
    </row>
    <row r="26" spans="3:5" x14ac:dyDescent="0.25">
      <c r="C26">
        <f t="shared" si="1"/>
        <v>1.5000000000000002</v>
      </c>
      <c r="D26" s="48">
        <f t="shared" si="0"/>
        <v>0.99749498660405445</v>
      </c>
      <c r="E26" s="48">
        <f t="shared" si="2"/>
        <v>0.99963669274026479</v>
      </c>
    </row>
    <row r="27" spans="3:5" x14ac:dyDescent="0.25">
      <c r="C27">
        <f t="shared" si="1"/>
        <v>1.6000000000000003</v>
      </c>
      <c r="D27" s="48">
        <f t="shared" si="0"/>
        <v>0.99957360304150511</v>
      </c>
      <c r="E27" s="48">
        <f t="shared" si="2"/>
        <v>0.99951043123097461</v>
      </c>
    </row>
    <row r="28" spans="3:5" x14ac:dyDescent="0.25">
      <c r="C28">
        <f t="shared" si="1"/>
        <v>1.7000000000000004</v>
      </c>
      <c r="D28" s="48">
        <f t="shared" si="0"/>
        <v>0.99166481045246857</v>
      </c>
      <c r="E28" s="48">
        <f t="shared" si="2"/>
        <v>0.99988781553470685</v>
      </c>
    </row>
    <row r="29" spans="3:5" x14ac:dyDescent="0.25">
      <c r="C29">
        <f t="shared" si="1"/>
        <v>1.8000000000000005</v>
      </c>
      <c r="D29" s="48">
        <f t="shared" si="0"/>
        <v>0.97384763087819504</v>
      </c>
      <c r="E29" s="48">
        <f t="shared" si="2"/>
        <v>0.99972670249133644</v>
      </c>
    </row>
    <row r="30" spans="3:5" x14ac:dyDescent="0.25">
      <c r="C30">
        <f t="shared" si="1"/>
        <v>1.9000000000000006</v>
      </c>
      <c r="D30" s="48">
        <f t="shared" si="0"/>
        <v>0.94630008768741425</v>
      </c>
      <c r="E30" s="48">
        <f t="shared" si="2"/>
        <v>0.99679900601365468</v>
      </c>
    </row>
    <row r="31" spans="3:5" x14ac:dyDescent="0.25">
      <c r="C31">
        <f t="shared" si="1"/>
        <v>2.0000000000000004</v>
      </c>
      <c r="D31" s="48">
        <f t="shared" si="0"/>
        <v>0.90929742682568149</v>
      </c>
      <c r="E31" s="48">
        <f t="shared" si="2"/>
        <v>0.98797912589649262</v>
      </c>
    </row>
    <row r="32" spans="3:5" x14ac:dyDescent="0.25">
      <c r="C32">
        <f t="shared" si="1"/>
        <v>2.1000000000000005</v>
      </c>
      <c r="D32" s="48">
        <f t="shared" si="0"/>
        <v>0.86320936664887349</v>
      </c>
      <c r="E32" s="48">
        <f t="shared" si="2"/>
        <v>0.96965818226408795</v>
      </c>
    </row>
    <row r="33" spans="3:5" x14ac:dyDescent="0.25">
      <c r="C33">
        <f t="shared" si="1"/>
        <v>2.2000000000000006</v>
      </c>
      <c r="D33" s="48">
        <f t="shared" si="0"/>
        <v>0.80849640381958987</v>
      </c>
      <c r="E33" s="48">
        <f t="shared" si="2"/>
        <v>0.93824166995113911</v>
      </c>
    </row>
    <row r="34" spans="3:5" x14ac:dyDescent="0.25">
      <c r="C34">
        <f t="shared" si="1"/>
        <v>2.3000000000000007</v>
      </c>
      <c r="D34" s="48">
        <f t="shared" si="0"/>
        <v>0.7457052121767197</v>
      </c>
      <c r="E34" s="48">
        <f t="shared" si="2"/>
        <v>0.89067909081827623</v>
      </c>
    </row>
    <row r="35" spans="3:5" x14ac:dyDescent="0.25">
      <c r="C35">
        <f t="shared" si="1"/>
        <v>2.4000000000000008</v>
      </c>
      <c r="D35" s="48">
        <f t="shared" si="0"/>
        <v>0.67546318055115029</v>
      </c>
      <c r="E35" s="48">
        <f t="shared" si="2"/>
        <v>0.82496993945867836</v>
      </c>
    </row>
    <row r="36" spans="3:5" x14ac:dyDescent="0.25">
      <c r="C36">
        <f t="shared" si="1"/>
        <v>2.5000000000000009</v>
      </c>
      <c r="D36" s="48">
        <f t="shared" si="0"/>
        <v>0.59847214410395577</v>
      </c>
      <c r="E36" s="48">
        <f t="shared" si="2"/>
        <v>0.74059153543892631</v>
      </c>
    </row>
    <row r="37" spans="3:5" x14ac:dyDescent="0.25">
      <c r="C37">
        <f t="shared" si="1"/>
        <v>2.600000000000001</v>
      </c>
      <c r="D37" s="48">
        <f t="shared" si="0"/>
        <v>0.51550137182146338</v>
      </c>
      <c r="E37" s="48">
        <f t="shared" si="2"/>
        <v>0.63880055294565075</v>
      </c>
    </row>
    <row r="38" spans="3:5" x14ac:dyDescent="0.25">
      <c r="C38">
        <f t="shared" si="1"/>
        <v>2.7000000000000011</v>
      </c>
      <c r="D38" s="48">
        <f t="shared" si="0"/>
        <v>0.42737988023382895</v>
      </c>
      <c r="E38" s="48">
        <f t="shared" si="2"/>
        <v>0.52277115341968083</v>
      </c>
    </row>
    <row r="39" spans="3:5" x14ac:dyDescent="0.25">
      <c r="C39">
        <f t="shared" si="1"/>
        <v>2.8000000000000012</v>
      </c>
      <c r="D39" s="48">
        <f t="shared" si="0"/>
        <v>0.33498815015590383</v>
      </c>
      <c r="E39" s="48">
        <f t="shared" si="2"/>
        <v>0.39754740003754779</v>
      </c>
    </row>
    <row r="40" spans="3:5" x14ac:dyDescent="0.25">
      <c r="C40">
        <f t="shared" si="1"/>
        <v>2.9000000000000012</v>
      </c>
      <c r="D40" s="48">
        <f t="shared" si="0"/>
        <v>0.23924932921398112</v>
      </c>
      <c r="E40" s="48">
        <f t="shared" si="2"/>
        <v>0.26980479801667157</v>
      </c>
    </row>
    <row r="41" spans="3:5" x14ac:dyDescent="0.25">
      <c r="C41">
        <f t="shared" si="1"/>
        <v>3.0000000000000013</v>
      </c>
      <c r="D41" s="48">
        <f t="shared" si="0"/>
        <v>0.14112000805986591</v>
      </c>
      <c r="E41" s="48">
        <f t="shared" si="2"/>
        <v>0.14743380542456808</v>
      </c>
    </row>
    <row r="42" spans="3:5" x14ac:dyDescent="0.25">
      <c r="C42">
        <f t="shared" si="1"/>
        <v>3.1000000000000014</v>
      </c>
      <c r="D42" s="48">
        <f t="shared" si="0"/>
        <v>4.1580662433289159E-2</v>
      </c>
      <c r="E42" s="48">
        <f t="shared" si="2"/>
        <v>3.8975349621958068E-2</v>
      </c>
    </row>
    <row r="43" spans="3:5" x14ac:dyDescent="0.25">
      <c r="C43">
        <f t="shared" si="1"/>
        <v>3.2000000000000015</v>
      </c>
      <c r="D43" s="48">
        <f t="shared" si="0"/>
        <v>-5.8374143427581418E-2</v>
      </c>
      <c r="E43" s="48">
        <f t="shared" si="2"/>
        <v>-5.5870076048348531E-2</v>
      </c>
    </row>
    <row r="44" spans="3:5" x14ac:dyDescent="0.25">
      <c r="C44">
        <f t="shared" si="1"/>
        <v>3.3000000000000016</v>
      </c>
      <c r="D44" s="48">
        <f t="shared" si="0"/>
        <v>-0.15774569414324996</v>
      </c>
      <c r="E44" s="48">
        <f t="shared" si="2"/>
        <v>-0.16727328819460141</v>
      </c>
    </row>
    <row r="45" spans="3:5" x14ac:dyDescent="0.25">
      <c r="C45">
        <f t="shared" si="1"/>
        <v>3.4000000000000017</v>
      </c>
      <c r="D45" s="48">
        <f t="shared" si="0"/>
        <v>-0.25554110202683294</v>
      </c>
      <c r="E45" s="48">
        <f t="shared" si="2"/>
        <v>-0.29113501242415435</v>
      </c>
    </row>
    <row r="46" spans="3:5" x14ac:dyDescent="0.25">
      <c r="C46">
        <f t="shared" si="1"/>
        <v>3.5000000000000018</v>
      </c>
      <c r="D46" s="48">
        <f t="shared" si="0"/>
        <v>-0.3507832276896215</v>
      </c>
      <c r="E46" s="48">
        <f t="shared" si="2"/>
        <v>-0.41897916377769318</v>
      </c>
    </row>
    <row r="47" spans="3:5" x14ac:dyDescent="0.25">
      <c r="C47">
        <f t="shared" si="1"/>
        <v>3.6000000000000019</v>
      </c>
      <c r="D47" s="48">
        <f t="shared" si="0"/>
        <v>-0.44252044329485407</v>
      </c>
      <c r="E47" s="48">
        <f t="shared" si="2"/>
        <v>-0.54308363955079553</v>
      </c>
    </row>
    <row r="48" spans="3:5" x14ac:dyDescent="0.25">
      <c r="C48">
        <f t="shared" si="1"/>
        <v>3.700000000000002</v>
      </c>
      <c r="D48" s="48">
        <f t="shared" si="0"/>
        <v>-0.52983614090849485</v>
      </c>
      <c r="E48" s="48">
        <f t="shared" si="2"/>
        <v>-0.65702269073448449</v>
      </c>
    </row>
    <row r="49" spans="3:5" x14ac:dyDescent="0.25">
      <c r="C49">
        <f t="shared" si="1"/>
        <v>3.800000000000002</v>
      </c>
      <c r="D49" s="48">
        <f t="shared" si="0"/>
        <v>-0.61185789094272069</v>
      </c>
      <c r="E49" s="48">
        <f t="shared" si="2"/>
        <v>-0.7560551301921542</v>
      </c>
    </row>
    <row r="50" spans="3:5" x14ac:dyDescent="0.25">
      <c r="C50">
        <f t="shared" si="1"/>
        <v>3.9000000000000021</v>
      </c>
      <c r="D50" s="48">
        <f t="shared" si="0"/>
        <v>-0.68776615918397532</v>
      </c>
      <c r="E50" s="48">
        <f t="shared" si="2"/>
        <v>-0.83733110674807854</v>
      </c>
    </row>
    <row r="51" spans="3:5" x14ac:dyDescent="0.25">
      <c r="C51">
        <f t="shared" si="1"/>
        <v>4.0000000000000018</v>
      </c>
      <c r="D51" s="48">
        <f t="shared" si="0"/>
        <v>-0.75680249530792942</v>
      </c>
      <c r="E51" s="48">
        <f t="shared" si="2"/>
        <v>-0.89990761549508891</v>
      </c>
    </row>
    <row r="52" spans="3:5" x14ac:dyDescent="0.25">
      <c r="C52">
        <f t="shared" si="1"/>
        <v>4.1000000000000014</v>
      </c>
      <c r="D52" s="48">
        <f t="shared" si="0"/>
        <v>-0.81827711106441137</v>
      </c>
      <c r="E52" s="48">
        <f t="shared" si="2"/>
        <v>-0.94458088933625173</v>
      </c>
    </row>
    <row r="53" spans="3:5" x14ac:dyDescent="0.25">
      <c r="C53">
        <f t="shared" si="1"/>
        <v>4.2000000000000011</v>
      </c>
      <c r="D53" s="48">
        <f t="shared" si="0"/>
        <v>-0.87157577241358863</v>
      </c>
      <c r="E53" s="48">
        <f t="shared" si="2"/>
        <v>-0.97356068396157902</v>
      </c>
    </row>
    <row r="54" spans="3:5" x14ac:dyDescent="0.25">
      <c r="C54">
        <f t="shared" si="1"/>
        <v>4.3000000000000007</v>
      </c>
      <c r="D54" s="48">
        <f t="shared" si="0"/>
        <v>-0.91616593674945523</v>
      </c>
      <c r="E54" s="48">
        <f t="shared" si="2"/>
        <v>-0.99002570110902699</v>
      </c>
    </row>
    <row r="55" spans="3:5" x14ac:dyDescent="0.25">
      <c r="C55">
        <f t="shared" si="1"/>
        <v>4.4000000000000004</v>
      </c>
      <c r="D55" s="48">
        <f t="shared" si="0"/>
        <v>-0.95160207388951601</v>
      </c>
      <c r="E55" s="48">
        <f t="shared" si="2"/>
        <v>-0.99760971734539217</v>
      </c>
    </row>
    <row r="56" spans="3:5" x14ac:dyDescent="0.25">
      <c r="C56">
        <f t="shared" si="1"/>
        <v>4.5</v>
      </c>
      <c r="D56" s="48">
        <f t="shared" si="0"/>
        <v>-0.97753011766509701</v>
      </c>
      <c r="E56" s="48">
        <f t="shared" si="2"/>
        <v>-0.99987348742694049</v>
      </c>
    </row>
    <row r="57" spans="3:5" x14ac:dyDescent="0.25">
      <c r="C57">
        <f t="shared" si="1"/>
        <v>4.5999999999999996</v>
      </c>
      <c r="D57" s="48">
        <f t="shared" si="0"/>
        <v>-0.99369100363346441</v>
      </c>
      <c r="E57" s="48">
        <f t="shared" si="2"/>
        <v>-0.99981770853032892</v>
      </c>
    </row>
    <row r="58" spans="3:5" x14ac:dyDescent="0.25">
      <c r="C58">
        <f t="shared" si="1"/>
        <v>4.6999999999999993</v>
      </c>
      <c r="D58" s="48">
        <f t="shared" si="0"/>
        <v>-0.99992325756410083</v>
      </c>
      <c r="E58" s="48">
        <f t="shared" si="2"/>
        <v>-0.99948728687607191</v>
      </c>
    </row>
    <row r="59" spans="3:5" x14ac:dyDescent="0.25">
      <c r="C59">
        <f t="shared" si="1"/>
        <v>4.7999999999999989</v>
      </c>
      <c r="D59" s="48">
        <f t="shared" si="0"/>
        <v>-0.99616460883584079</v>
      </c>
      <c r="E59" s="48">
        <f t="shared" si="2"/>
        <v>-0.99970734702722452</v>
      </c>
    </row>
    <row r="60" spans="3:5" x14ac:dyDescent="0.25">
      <c r="C60">
        <f t="shared" si="1"/>
        <v>4.8999999999999986</v>
      </c>
      <c r="D60" s="48">
        <f t="shared" si="0"/>
        <v>-0.98245261262433281</v>
      </c>
      <c r="E60" s="48">
        <f t="shared" si="2"/>
        <v>-0.99997780755021737</v>
      </c>
    </row>
    <row r="61" spans="3:5" x14ac:dyDescent="0.25">
      <c r="C61">
        <f t="shared" si="1"/>
        <v>4.9999999999999982</v>
      </c>
      <c r="D61" s="48">
        <f t="shared" si="0"/>
        <v>-0.95892427466313901</v>
      </c>
      <c r="E61" s="48">
        <f t="shared" si="2"/>
        <v>-0.99853720479337615</v>
      </c>
    </row>
    <row r="62" spans="3:5" x14ac:dyDescent="0.25">
      <c r="C62">
        <f t="shared" si="1"/>
        <v>5.0999999999999979</v>
      </c>
      <c r="D62" s="48">
        <f t="shared" si="0"/>
        <v>-0.92581468232773312</v>
      </c>
      <c r="E62" s="48">
        <f t="shared" si="2"/>
        <v>-0.99258930002566081</v>
      </c>
    </row>
    <row r="63" spans="3:5" x14ac:dyDescent="0.25">
      <c r="C63">
        <f t="shared" si="1"/>
        <v>5.1999999999999975</v>
      </c>
      <c r="D63" s="48">
        <f t="shared" si="0"/>
        <v>-0.88345465572015447</v>
      </c>
      <c r="E63" s="48">
        <f t="shared" si="2"/>
        <v>-0.97866946658381904</v>
      </c>
    </row>
    <row r="64" spans="3:5" x14ac:dyDescent="0.25">
      <c r="C64">
        <f t="shared" si="1"/>
        <v>5.2999999999999972</v>
      </c>
      <c r="D64" s="48">
        <f t="shared" si="0"/>
        <v>-0.8322674422239027</v>
      </c>
      <c r="E64" s="48">
        <f t="shared" si="2"/>
        <v>-0.95311347998346774</v>
      </c>
    </row>
    <row r="65" spans="3:5" x14ac:dyDescent="0.25">
      <c r="C65">
        <f t="shared" si="1"/>
        <v>5.3999999999999968</v>
      </c>
      <c r="D65" s="48">
        <f t="shared" si="0"/>
        <v>-0.77276448755598937</v>
      </c>
      <c r="E65" s="48">
        <f t="shared" si="2"/>
        <v>-0.91258048436887496</v>
      </c>
    </row>
    <row r="66" spans="3:5" x14ac:dyDescent="0.25">
      <c r="C66">
        <f t="shared" si="1"/>
        <v>5.4999999999999964</v>
      </c>
      <c r="D66" s="48">
        <f t="shared" si="0"/>
        <v>-0.70554032557039448</v>
      </c>
      <c r="E66" s="48">
        <f t="shared" si="2"/>
        <v>-0.8545756202306275</v>
      </c>
    </row>
    <row r="67" spans="3:5" x14ac:dyDescent="0.25">
      <c r="C67">
        <f t="shared" si="1"/>
        <v>5.5999999999999961</v>
      </c>
      <c r="D67" s="48">
        <f t="shared" si="0"/>
        <v>-0.63126663787232429</v>
      </c>
      <c r="E67" s="48">
        <f t="shared" si="2"/>
        <v>-0.77791669050648671</v>
      </c>
    </row>
    <row r="68" spans="3:5" x14ac:dyDescent="0.25">
      <c r="C68">
        <f t="shared" si="1"/>
        <v>5.6999999999999957</v>
      </c>
      <c r="D68" s="48">
        <f t="shared" si="0"/>
        <v>-0.55068554259764135</v>
      </c>
      <c r="E68" s="48">
        <f t="shared" si="2"/>
        <v>-0.68309345932764476</v>
      </c>
    </row>
    <row r="69" spans="3:5" x14ac:dyDescent="0.25">
      <c r="C69">
        <f t="shared" si="1"/>
        <v>5.7999999999999954</v>
      </c>
      <c r="D69" s="48">
        <f t="shared" si="0"/>
        <v>-0.46460217941376131</v>
      </c>
      <c r="E69" s="48">
        <f t="shared" si="2"/>
        <v>-0.57247737424044742</v>
      </c>
    </row>
    <row r="70" spans="3:5" x14ac:dyDescent="0.25">
      <c r="C70">
        <f t="shared" si="1"/>
        <v>5.899999999999995</v>
      </c>
      <c r="D70" s="48">
        <f t="shared" si="0"/>
        <v>-0.37387666483024096</v>
      </c>
      <c r="E70" s="48">
        <f t="shared" si="2"/>
        <v>-0.45035287293756571</v>
      </c>
    </row>
    <row r="71" spans="3:5" x14ac:dyDescent="0.25">
      <c r="C71">
        <f t="shared" si="1"/>
        <v>5.9999999999999947</v>
      </c>
      <c r="D71" s="48">
        <f t="shared" si="0"/>
        <v>-0.27941549819893097</v>
      </c>
      <c r="E71" s="48">
        <f t="shared" si="2"/>
        <v>-0.32275778469407185</v>
      </c>
    </row>
    <row r="72" spans="3:5" x14ac:dyDescent="0.25">
      <c r="C72">
        <f t="shared" si="1"/>
        <v>6.0999999999999943</v>
      </c>
      <c r="D72" s="48">
        <f t="shared" si="0"/>
        <v>-0.18216250427210112</v>
      </c>
      <c r="E72" s="48">
        <f t="shared" si="2"/>
        <v>-0.1971381879823686</v>
      </c>
    </row>
    <row r="73" spans="3:5" x14ac:dyDescent="0.25">
      <c r="C73">
        <f t="shared" si="1"/>
        <v>6.199999999999994</v>
      </c>
      <c r="D73" s="48">
        <f t="shared" si="0"/>
        <v>-8.30894028175026E-2</v>
      </c>
      <c r="E73" s="48">
        <f t="shared" si="2"/>
        <v>-8.1840812709118957E-2</v>
      </c>
    </row>
    <row r="74" spans="3:5" x14ac:dyDescent="0.25">
      <c r="C74">
        <f t="shared" si="1"/>
        <v>6.2999999999999936</v>
      </c>
      <c r="D74" s="48">
        <f t="shared" si="0"/>
        <v>1.6813900484343496E-2</v>
      </c>
      <c r="E74" s="48">
        <f t="shared" si="2"/>
        <v>1.5249974196590264E-2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Lind</vt:lpstr>
      <vt:lpstr>Räkn</vt:lpstr>
      <vt:lpstr>plot</vt:lpstr>
      <vt:lpstr>Rot</vt:lpstr>
      <vt:lpstr>Q</vt:lpstr>
    </vt:vector>
  </TitlesOfParts>
  <Company>Avd. för elektricitetslära UU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Hans Bernhoff</dc:creator>
  <cp:lastModifiedBy>Hans Bernhoff</cp:lastModifiedBy>
  <dcterms:created xsi:type="dcterms:W3CDTF">2021-02-09T15:18:23Z</dcterms:created>
  <dcterms:modified xsi:type="dcterms:W3CDTF">2026-06-18T08:46:05Z</dcterms:modified>
</cp:coreProperties>
</file>